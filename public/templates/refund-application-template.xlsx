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und Form" sheetId="1" r:id="rId5"/>
    <sheet state="hidden" name="Lists" sheetId="2" r:id="rId6"/>
  </sheets>
  <definedNames/>
  <calcPr/>
</workbook>
</file>

<file path=xl/sharedStrings.xml><?xml version="1.0" encoding="utf-8"?>
<sst xmlns="http://schemas.openxmlformats.org/spreadsheetml/2006/main" count="92" uniqueCount="89">
  <si>
    <t>Refund Application Form</t>
  </si>
  <si>
    <t>MW Manufacturing QLD  •  Internal Use  •  Retain with Sales Invoice</t>
  </si>
  <si>
    <t>Auto-generated form  •  fields highlighted red are required</t>
  </si>
  <si>
    <t>Date Raised:</t>
  </si>
  <si>
    <t>1.  Store &amp; Sales Details</t>
  </si>
  <si>
    <t>Store:</t>
  </si>
  <si>
    <t>Store Code:</t>
  </si>
  <si>
    <t>Date of Sale:</t>
  </si>
  <si>
    <t>Transaction No.:</t>
  </si>
  <si>
    <t>Invoice No.:</t>
  </si>
  <si>
    <t>Total Sales Amount:</t>
  </si>
  <si>
    <t>Amount Paid:</t>
  </si>
  <si>
    <t>Payment Method:</t>
  </si>
  <si>
    <t>2.  Product / Order Status</t>
  </si>
  <si>
    <t>Order Status:</t>
  </si>
  <si>
    <t>Notes:</t>
  </si>
  <si>
    <t>3.  Reason for Refund</t>
  </si>
  <si>
    <t>Reason:</t>
  </si>
  <si>
    <t>Explanation:</t>
  </si>
  <si>
    <t>4.  Customer Details</t>
  </si>
  <si>
    <t>Customer / Company:</t>
  </si>
  <si>
    <t>Phone:</t>
  </si>
  <si>
    <t>Email:</t>
  </si>
  <si>
    <t>Address:</t>
  </si>
  <si>
    <t>5.  Refund Details</t>
  </si>
  <si>
    <t>Refund Method:</t>
  </si>
  <si>
    <t>Internet Bank Transfer Refund (IBT)</t>
  </si>
  <si>
    <t>Total Refund Amount:</t>
  </si>
  <si>
    <t>Validation Check:</t>
  </si>
  <si>
    <t>6.  Bank Details for IBT  (Internet Bank Transfer)</t>
  </si>
  <si>
    <t>BSB (6 digits):</t>
  </si>
  <si>
    <t>Account Number:</t>
  </si>
  <si>
    <t>Account Name:</t>
  </si>
  <si>
    <t>Bank Detail Check:</t>
  </si>
  <si>
    <t>7.  Authorisation</t>
  </si>
  <si>
    <t>Sales Staff:</t>
  </si>
  <si>
    <t>Manager Approval:</t>
  </si>
  <si>
    <t>Approval Date:</t>
  </si>
  <si>
    <t>Approval Status:</t>
  </si>
  <si>
    <t>8.  Accounting Department Use Only</t>
  </si>
  <si>
    <t>Processed By:</t>
  </si>
  <si>
    <t>Date Processed:</t>
  </si>
  <si>
    <t>Xero Reference:</t>
  </si>
  <si>
    <t>Payment Date:</t>
  </si>
  <si>
    <t>T/R Updated:</t>
  </si>
  <si>
    <t>Shop Informed:</t>
  </si>
  <si>
    <t>Refunds are issued by Internet Bank Transfer only — bank details required before payment.   Refund cannot exceed amount paid by customer.   Date Raised auto-populates; paste-as-values to freeze once finalised.</t>
  </si>
  <si>
    <t>Stores</t>
  </si>
  <si>
    <t>Store Code</t>
  </si>
  <si>
    <t>Order Status</t>
  </si>
  <si>
    <t>Refund Reasons</t>
  </si>
  <si>
    <t>Payment Methods</t>
  </si>
  <si>
    <t>Refund Methods</t>
  </si>
  <si>
    <t>Approval Status</t>
  </si>
  <si>
    <t>Yes / No</t>
  </si>
  <si>
    <t>Cleaned BSB (helper — do not edit)</t>
  </si>
  <si>
    <t>Toowoomba</t>
  </si>
  <si>
    <t>TWA</t>
  </si>
  <si>
    <t>Stock returned</t>
  </si>
  <si>
    <t>Customer cancellation</t>
  </si>
  <si>
    <t>Cash</t>
  </si>
  <si>
    <t>Draft</t>
  </si>
  <si>
    <t>Yes</t>
  </si>
  <si>
    <t>Brisbane</t>
  </si>
  <si>
    <t>BNE</t>
  </si>
  <si>
    <t>Order not made yet</t>
  </si>
  <si>
    <t>Incorrect product ordered</t>
  </si>
  <si>
    <t>EFTPOS</t>
  </si>
  <si>
    <t>Pending Approval</t>
  </si>
  <si>
    <t>No</t>
  </si>
  <si>
    <t>Sunshine Coast</t>
  </si>
  <si>
    <t>SCO</t>
  </si>
  <si>
    <t>Order already in production</t>
  </si>
  <si>
    <t>Product issue</t>
  </si>
  <si>
    <t>Credit Card</t>
  </si>
  <si>
    <t>Approved</t>
  </si>
  <si>
    <t>Gold Coast</t>
  </si>
  <si>
    <t>GCO</t>
  </si>
  <si>
    <t>Order completed</t>
  </si>
  <si>
    <t>Duplicate payment</t>
  </si>
  <si>
    <t>Direct Deposit</t>
  </si>
  <si>
    <t>Rejected</t>
  </si>
  <si>
    <t>Special order item</t>
  </si>
  <si>
    <t>Overpayment</t>
  </si>
  <si>
    <t>Cheque</t>
  </si>
  <si>
    <t>Paid</t>
  </si>
  <si>
    <t>Other</t>
  </si>
  <si>
    <t>Warranty / goodwill</t>
  </si>
  <si>
    <t>Management approved exception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</si>
</sst>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\$#,##0.00"/>
  </numFmts>
  <fonts count="13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0.0"/>
      <color rgb="FFFFFFFF"/>
      <name val="Arial"/>
    </font>
    <font>
      <i/>
      <sz val="8.0"/>
      <color rgb="FF7F7F7F"/>
      <name val="Arial"/>
    </font>
    <font>
      <b/>
      <sz val="10.0"/>
      <color rgb="FF222222"/>
      <name val="Arial"/>
    </font>
    <font>
      <b/>
      <sz val="10.0"/>
      <color rgb="FF1F3864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mbria"/>
    </font>
    <font>
      <b/>
      <i/>
      <sz val="11.0"/>
      <color theme="1"/>
      <name val="Cambria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AFAFA"/>
        <bgColor rgb="FFFAFAFA"/>
      </patternFill>
    </fill>
    <fill>
      <patternFill patternType="solid">
        <fgColor rgb="FFE7E6E6"/>
        <bgColor rgb="FFE7E6E6"/>
      </patternFill>
    </fill>
    <fill>
      <patternFill patternType="solid">
        <fgColor rgb="FF305496"/>
        <bgColor rgb="FF305496"/>
      </patternFill>
    </fill>
    <fill>
      <patternFill patternType="solid">
        <fgColor rgb="FFF2F2F2"/>
        <bgColor rgb="FFF2F2F2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medium">
        <color rgb="FF305496"/>
      </left>
      <top style="medium">
        <color rgb="FF305496"/>
      </top>
      <bottom style="medium">
        <color rgb="FF305496"/>
      </bottom>
    </border>
    <border>
      <top style="medium">
        <color rgb="FF305496"/>
      </top>
      <bottom style="medium">
        <color rgb="FF305496"/>
      </bottom>
    </border>
    <border>
      <right style="medium">
        <color rgb="FF305496"/>
      </right>
      <top style="medium">
        <color rgb="FF305496"/>
      </top>
      <bottom style="medium">
        <color rgb="FF305496"/>
      </bottom>
    </border>
    <border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4" fillId="3" fontId="5" numFmtId="0" xfId="0" applyAlignment="1" applyBorder="1" applyFill="1" applyFont="1">
      <alignment horizontal="left" shrinkToFit="0" vertical="center" wrapText="0"/>
    </xf>
    <xf borderId="5" fillId="4" fontId="6" numFmtId="164" xfId="0" applyAlignment="1" applyBorder="1" applyFill="1" applyFont="1" applyNumberFormat="1">
      <alignment horizontal="center" shrinkToFit="0" vertical="center" wrapText="0"/>
    </xf>
    <xf borderId="6" fillId="0" fontId="2" numFmtId="0" xfId="0" applyBorder="1" applyFont="1"/>
    <xf borderId="7" fillId="5" fontId="7" numFmtId="0" xfId="0" applyAlignment="1" applyBorder="1" applyFill="1" applyFont="1">
      <alignment horizontal="left" shrinkToFit="0" vertical="center" wrapText="0"/>
    </xf>
    <xf borderId="8" fillId="0" fontId="2" numFmtId="0" xfId="0" applyBorder="1" applyFont="1"/>
    <xf borderId="9" fillId="0" fontId="2" numFmtId="0" xfId="0" applyBorder="1" applyFont="1"/>
    <xf borderId="4" fillId="6" fontId="8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6" fontId="8" numFmtId="164" xfId="0" applyAlignment="1" applyBorder="1" applyFont="1" applyNumberFormat="1">
      <alignment horizontal="left" shrinkToFit="0" vertical="center" wrapText="1"/>
    </xf>
    <xf borderId="5" fillId="6" fontId="8" numFmtId="0" xfId="0" applyAlignment="1" applyBorder="1" applyFont="1">
      <alignment horizontal="left" shrinkToFit="0" vertical="center" wrapText="1"/>
    </xf>
    <xf borderId="4" fillId="6" fontId="8" numFmtId="165" xfId="0" applyAlignment="1" applyBorder="1" applyFont="1" applyNumberFormat="1">
      <alignment horizontal="left" shrinkToFit="0" vertical="center" wrapText="1"/>
    </xf>
    <xf borderId="10" fillId="0" fontId="2" numFmtId="0" xfId="0" applyBorder="1" applyFont="1"/>
    <xf borderId="5" fillId="6" fontId="8" numFmtId="165" xfId="0" applyAlignment="1" applyBorder="1" applyFont="1" applyNumberFormat="1">
      <alignment horizontal="left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4" fillId="6" fontId="8" numFmtId="49" xfId="0" applyAlignment="1" applyBorder="1" applyFont="1" applyNumberFormat="1">
      <alignment horizontal="left" shrinkToFit="0" vertical="center" wrapText="1"/>
    </xf>
    <xf borderId="5" fillId="6" fontId="8" numFmtId="49" xfId="0" applyAlignment="1" applyBorder="1" applyFont="1" applyNumberFormat="1">
      <alignment horizontal="left" shrinkToFit="0" vertical="center" wrapText="1"/>
    </xf>
    <xf borderId="5" fillId="6" fontId="8" numFmtId="164" xfId="0" applyAlignment="1" applyBorder="1" applyFont="1" applyNumberForma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Font="1"/>
  </cellXfs>
  <cellStyles count="1">
    <cellStyle xfId="0" name="Normal" builtinId="0"/>
  </cellStyles>
  <dxfs count="4">
    <dxf>
      <font/>
      <fill>
        <patternFill patternType="solid">
          <fgColor rgb="FFF8CBAD"/>
          <bgColor rgb="FFF8CBAD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color rgb="FFFFFFFF"/>
        <name val="Arial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6.0"/>
    <col customWidth="1" min="3" max="3" width="18.0"/>
    <col customWidth="1" min="4" max="4" width="20.0"/>
    <col customWidth="1" min="5" max="5" width="19.0"/>
    <col customWidth="1" min="6" max="6" width="15.0"/>
    <col customWidth="1" min="7" max="26" width="8.71"/>
  </cols>
  <sheetData>
    <row r="1" ht="31.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18.0" customHeight="1">
      <c r="A3" s="5" t="s">
        <v>2</v>
      </c>
      <c r="D3" s="6" t="s">
        <v>3</v>
      </c>
      <c r="E3" s="7">
        <f>TODAY()</f>
        <v>46168</v>
      </c>
      <c r="F3" s="8"/>
    </row>
    <row r="4" ht="21.75" customHeight="1">
      <c r="A4" s="9" t="s">
        <v>4</v>
      </c>
      <c r="B4" s="10"/>
      <c r="C4" s="10"/>
      <c r="D4" s="10"/>
      <c r="E4" s="10"/>
      <c r="F4" s="11"/>
    </row>
    <row r="5" ht="18.0" customHeight="1">
      <c r="A5" s="6" t="s">
        <v>5</v>
      </c>
      <c r="B5" s="12"/>
      <c r="C5" s="6" t="s">
        <v>6</v>
      </c>
      <c r="D5" s="13" t="str">
        <f>IFERROR(VLOOKUP(B5,Lists!$A$2:$B$5,2,FALSE()),"")</f>
        <v/>
      </c>
      <c r="E5" s="6" t="s">
        <v>7</v>
      </c>
      <c r="F5" s="14"/>
    </row>
    <row r="6" ht="18.0" customHeight="1">
      <c r="A6" s="6" t="s">
        <v>8</v>
      </c>
      <c r="B6" s="15"/>
      <c r="C6" s="8"/>
      <c r="D6" s="6" t="s">
        <v>9</v>
      </c>
      <c r="E6" s="15"/>
      <c r="F6" s="8"/>
    </row>
    <row r="7" ht="18.0" customHeight="1">
      <c r="A7" s="6" t="s">
        <v>10</v>
      </c>
      <c r="B7" s="16"/>
      <c r="C7" s="6" t="s">
        <v>11</v>
      </c>
      <c r="D7" s="16"/>
      <c r="E7" s="6" t="s">
        <v>12</v>
      </c>
      <c r="F7" s="12"/>
    </row>
    <row r="8" ht="21.75" customHeight="1">
      <c r="A8" s="9" t="s">
        <v>13</v>
      </c>
      <c r="B8" s="10"/>
      <c r="C8" s="10"/>
      <c r="D8" s="10"/>
      <c r="E8" s="10"/>
      <c r="F8" s="11"/>
    </row>
    <row r="9" ht="18.0" customHeight="1">
      <c r="A9" s="6" t="s">
        <v>14</v>
      </c>
      <c r="B9" s="15"/>
      <c r="C9" s="17"/>
      <c r="D9" s="17"/>
      <c r="E9" s="17"/>
      <c r="F9" s="8"/>
    </row>
    <row r="10" ht="36.0" customHeight="1">
      <c r="A10" s="6" t="s">
        <v>15</v>
      </c>
      <c r="B10" s="15"/>
      <c r="C10" s="17"/>
      <c r="D10" s="17"/>
      <c r="E10" s="17"/>
      <c r="F10" s="8"/>
    </row>
    <row r="11" ht="21.75" customHeight="1">
      <c r="A11" s="9" t="s">
        <v>16</v>
      </c>
      <c r="B11" s="10"/>
      <c r="C11" s="10"/>
      <c r="D11" s="10"/>
      <c r="E11" s="10"/>
      <c r="F11" s="11"/>
    </row>
    <row r="12" ht="18.0" customHeight="1">
      <c r="A12" s="6" t="s">
        <v>17</v>
      </c>
      <c r="B12" s="15"/>
      <c r="C12" s="17"/>
      <c r="D12" s="17"/>
      <c r="E12" s="17"/>
      <c r="F12" s="8"/>
    </row>
    <row r="13" ht="36.0" customHeight="1">
      <c r="A13" s="6" t="s">
        <v>18</v>
      </c>
      <c r="B13" s="15"/>
      <c r="C13" s="17"/>
      <c r="D13" s="17"/>
      <c r="E13" s="17"/>
      <c r="F13" s="8"/>
    </row>
    <row r="14" ht="21.75" customHeight="1">
      <c r="A14" s="9" t="s">
        <v>19</v>
      </c>
      <c r="B14" s="10"/>
      <c r="C14" s="10"/>
      <c r="D14" s="10"/>
      <c r="E14" s="10"/>
      <c r="F14" s="11"/>
    </row>
    <row r="15" ht="21.75" customHeight="1">
      <c r="A15" s="6" t="s">
        <v>20</v>
      </c>
      <c r="B15" s="15"/>
      <c r="C15" s="17"/>
      <c r="D15" s="17"/>
      <c r="E15" s="17"/>
      <c r="F15" s="8"/>
    </row>
    <row r="16" ht="18.0" customHeight="1">
      <c r="A16" s="6" t="s">
        <v>21</v>
      </c>
      <c r="B16" s="15"/>
      <c r="C16" s="8"/>
      <c r="D16" s="6" t="s">
        <v>22</v>
      </c>
      <c r="E16" s="15"/>
      <c r="F16" s="8"/>
    </row>
    <row r="17" ht="30.0" customHeight="1">
      <c r="A17" s="6" t="s">
        <v>23</v>
      </c>
      <c r="B17" s="15"/>
      <c r="C17" s="17"/>
      <c r="D17" s="17"/>
      <c r="E17" s="17"/>
      <c r="F17" s="8"/>
    </row>
    <row r="18" ht="21.75" customHeight="1">
      <c r="A18" s="9" t="s">
        <v>24</v>
      </c>
      <c r="B18" s="10"/>
      <c r="C18" s="10"/>
      <c r="D18" s="10"/>
      <c r="E18" s="10"/>
      <c r="F18" s="11"/>
    </row>
    <row r="19" ht="18.0" customHeight="1">
      <c r="A19" s="6" t="s">
        <v>25</v>
      </c>
      <c r="B19" s="15" t="s">
        <v>26</v>
      </c>
      <c r="C19" s="8"/>
      <c r="D19" s="6" t="s">
        <v>27</v>
      </c>
      <c r="E19" s="18"/>
      <c r="F19" s="8"/>
    </row>
    <row r="20" ht="21.75" customHeight="1">
      <c r="A20" s="6" t="s">
        <v>28</v>
      </c>
      <c r="B20" s="19" t="str">
        <f>IF(OR(E19="",D7=""),"Awaiting input...",IF(N(E19)&gt;N(D7),"ERROR: Refund exceeds amount paid","OK - refund within amount paid"))</f>
        <v>Awaiting input...</v>
      </c>
      <c r="C20" s="17"/>
      <c r="D20" s="17"/>
      <c r="E20" s="17"/>
      <c r="F20" s="8"/>
    </row>
    <row r="21" ht="21.75" customHeight="1">
      <c r="A21" s="9" t="s">
        <v>29</v>
      </c>
      <c r="B21" s="10"/>
      <c r="C21" s="10"/>
      <c r="D21" s="10"/>
      <c r="E21" s="10"/>
      <c r="F21" s="11"/>
    </row>
    <row r="22" ht="18.0" customHeight="1">
      <c r="A22" s="6" t="s">
        <v>30</v>
      </c>
      <c r="B22" s="20"/>
      <c r="C22" s="6" t="s">
        <v>31</v>
      </c>
      <c r="D22" s="21"/>
      <c r="E22" s="8"/>
      <c r="F22" s="6"/>
    </row>
    <row r="23" ht="18.0" customHeight="1">
      <c r="A23" s="6" t="s">
        <v>32</v>
      </c>
      <c r="B23" s="21"/>
      <c r="C23" s="17"/>
      <c r="D23" s="17"/>
      <c r="E23" s="17"/>
      <c r="F23" s="8"/>
    </row>
    <row r="24" ht="30.0" customHeight="1">
      <c r="A24" s="6" t="s">
        <v>33</v>
      </c>
      <c r="B24" s="19" t="str">
        <f>IF(AND(B22&lt;&gt;"",LEN(Lists!$J$2)=6,NOT(ISERROR(VALUE(Lists!$J$2))),D22&lt;&gt;"",B23&lt;&gt;""),"OK - all bank details supplied.",TRIM(IF(B22="","BSB is required.  ",IF(OR(LEN(Lists!$J$2)&lt;&gt;6,ISERROR(VALUE(Lists!$J$2))),"BSB must be 6 digits (dashes or spaces are OK, e.g. 064-000).  ",""))&amp;IF(D22="","Account number is required.  ","")&amp;IF(B23="","Account name is required.","")))</f>
        <v>BSB is required. Account number is required. Account name is required.</v>
      </c>
      <c r="C24" s="17"/>
      <c r="D24" s="17"/>
      <c r="E24" s="17"/>
      <c r="F24" s="8"/>
    </row>
    <row r="25" ht="21.75" customHeight="1">
      <c r="A25" s="9" t="s">
        <v>34</v>
      </c>
      <c r="B25" s="10"/>
      <c r="C25" s="10"/>
      <c r="D25" s="10"/>
      <c r="E25" s="10"/>
      <c r="F25" s="11"/>
    </row>
    <row r="26" ht="18.0" customHeight="1">
      <c r="A26" s="6" t="s">
        <v>35</v>
      </c>
      <c r="B26" s="15"/>
      <c r="C26" s="17"/>
      <c r="D26" s="17"/>
      <c r="E26" s="17"/>
      <c r="F26" s="8"/>
    </row>
    <row r="27" ht="18.0" customHeight="1">
      <c r="A27" s="6" t="s">
        <v>36</v>
      </c>
      <c r="B27" s="15"/>
      <c r="C27" s="8"/>
      <c r="D27" s="6" t="s">
        <v>37</v>
      </c>
      <c r="E27" s="22"/>
      <c r="F27" s="8"/>
    </row>
    <row r="28" ht="18.0" customHeight="1">
      <c r="A28" s="6" t="s">
        <v>38</v>
      </c>
      <c r="B28" s="15"/>
      <c r="C28" s="17"/>
      <c r="D28" s="17"/>
      <c r="E28" s="17"/>
      <c r="F28" s="8"/>
    </row>
    <row r="29" ht="21.75" customHeight="1">
      <c r="A29" s="9" t="s">
        <v>39</v>
      </c>
      <c r="B29" s="10"/>
      <c r="C29" s="10"/>
      <c r="D29" s="10"/>
      <c r="E29" s="10"/>
      <c r="F29" s="11"/>
    </row>
    <row r="30" ht="18.0" customHeight="1">
      <c r="A30" s="6" t="s">
        <v>40</v>
      </c>
      <c r="B30" s="15"/>
      <c r="C30" s="8"/>
      <c r="D30" s="6" t="s">
        <v>41</v>
      </c>
      <c r="E30" s="22"/>
      <c r="F30" s="8"/>
    </row>
    <row r="31" ht="18.0" customHeight="1">
      <c r="A31" s="6" t="s">
        <v>42</v>
      </c>
      <c r="B31" s="15"/>
      <c r="C31" s="8"/>
      <c r="D31" s="6" t="s">
        <v>43</v>
      </c>
      <c r="E31" s="22"/>
      <c r="F31" s="8"/>
    </row>
    <row r="32" ht="18.0" customHeight="1">
      <c r="A32" s="6" t="s">
        <v>44</v>
      </c>
      <c r="B32" s="15"/>
      <c r="C32" s="8"/>
      <c r="D32" s="6" t="s">
        <v>45</v>
      </c>
      <c r="E32" s="15"/>
      <c r="F32" s="8"/>
    </row>
    <row r="33" ht="24.0" customHeight="1">
      <c r="A33" s="23" t="s">
        <v>46</v>
      </c>
    </row>
    <row r="34" ht="15.0" customHeight="1">
      <c r="A34" s="24"/>
      <c r="B34" s="24"/>
      <c r="C34" s="24"/>
      <c r="D34" s="24"/>
      <c r="E34" s="24"/>
      <c r="F34" s="24"/>
    </row>
    <row r="35" ht="15.0" customHeight="1">
      <c r="A35" s="24"/>
      <c r="B35" s="24"/>
      <c r="C35" s="24"/>
      <c r="D35" s="24"/>
      <c r="E35" s="24"/>
      <c r="F35" s="24"/>
    </row>
    <row r="36" ht="15.0" customHeight="1">
      <c r="A36" s="24"/>
      <c r="B36" s="24"/>
      <c r="C36" s="24"/>
      <c r="D36" s="24"/>
      <c r="E36" s="24"/>
      <c r="F36" s="24"/>
    </row>
    <row r="37" ht="15.0" customHeight="1">
      <c r="A37" s="24"/>
      <c r="B37" s="24"/>
      <c r="C37" s="24"/>
      <c r="D37" s="24"/>
      <c r="E37" s="24"/>
      <c r="F37" s="24"/>
    </row>
    <row r="38" ht="15.0" customHeight="1">
      <c r="A38" s="24"/>
      <c r="B38" s="24"/>
      <c r="C38" s="24"/>
      <c r="D38" s="24"/>
      <c r="E38" s="24"/>
      <c r="F38" s="24"/>
    </row>
    <row r="39" ht="15.0" customHeight="1">
      <c r="A39" s="24"/>
      <c r="B39" s="24"/>
      <c r="C39" s="24"/>
      <c r="D39" s="24"/>
      <c r="E39" s="24"/>
      <c r="F39" s="24"/>
    </row>
    <row r="40" ht="15.0" customHeight="1">
      <c r="A40" s="24"/>
      <c r="B40" s="24"/>
      <c r="C40" s="24"/>
      <c r="D40" s="24"/>
      <c r="E40" s="24"/>
      <c r="F40" s="24"/>
    </row>
    <row r="41" ht="15.0" customHeight="1">
      <c r="A41" s="24"/>
      <c r="B41" s="24"/>
      <c r="C41" s="24"/>
      <c r="D41" s="24"/>
      <c r="E41" s="24"/>
      <c r="F41" s="24"/>
    </row>
    <row r="42" ht="15.0" customHeight="1">
      <c r="A42" s="24"/>
      <c r="B42" s="24"/>
      <c r="C42" s="24"/>
      <c r="D42" s="24"/>
      <c r="E42" s="24"/>
      <c r="F42" s="24"/>
    </row>
    <row r="43" ht="15.0" customHeight="1">
      <c r="A43" s="24"/>
      <c r="B43" s="24"/>
      <c r="C43" s="24"/>
      <c r="D43" s="24"/>
      <c r="E43" s="24"/>
      <c r="F43" s="24"/>
    </row>
    <row r="44" ht="15.0" customHeight="1">
      <c r="A44" s="24"/>
      <c r="B44" s="24"/>
      <c r="C44" s="24"/>
      <c r="D44" s="24"/>
      <c r="E44" s="24"/>
      <c r="F44" s="24"/>
    </row>
    <row r="45" ht="15.0" customHeight="1">
      <c r="A45" s="24"/>
      <c r="B45" s="24"/>
      <c r="C45" s="24"/>
      <c r="D45" s="24"/>
      <c r="E45" s="24"/>
      <c r="F45" s="24"/>
    </row>
    <row r="46" ht="15.0" customHeight="1">
      <c r="A46" s="24"/>
      <c r="B46" s="24"/>
      <c r="C46" s="24"/>
      <c r="D46" s="24"/>
      <c r="E46" s="24"/>
      <c r="F46" s="24"/>
    </row>
    <row r="47" ht="15.0" customHeight="1">
      <c r="A47" s="24"/>
      <c r="B47" s="24"/>
      <c r="C47" s="24"/>
      <c r="D47" s="24"/>
      <c r="E47" s="24"/>
      <c r="F47" s="24"/>
    </row>
    <row r="48" ht="15.0" customHeight="1">
      <c r="A48" s="24"/>
      <c r="B48" s="24"/>
      <c r="C48" s="24"/>
      <c r="D48" s="24"/>
      <c r="E48" s="24"/>
      <c r="F48" s="24"/>
    </row>
    <row r="49" ht="15.0" customHeight="1">
      <c r="A49" s="24"/>
      <c r="B49" s="24"/>
      <c r="C49" s="24"/>
      <c r="D49" s="24"/>
      <c r="E49" s="24"/>
      <c r="F49" s="24"/>
    </row>
    <row r="50" ht="15.0" customHeight="1">
      <c r="A50" s="24"/>
      <c r="B50" s="24"/>
      <c r="C50" s="24"/>
      <c r="D50" s="24"/>
      <c r="E50" s="24"/>
      <c r="F50" s="24"/>
    </row>
    <row r="51" ht="15.0" customHeight="1">
      <c r="A51" s="24"/>
      <c r="B51" s="24"/>
      <c r="C51" s="24"/>
      <c r="D51" s="24"/>
      <c r="E51" s="24"/>
      <c r="F51" s="24"/>
    </row>
    <row r="52" ht="15.0" customHeight="1">
      <c r="A52" s="24"/>
      <c r="B52" s="24"/>
      <c r="C52" s="24"/>
      <c r="D52" s="24"/>
      <c r="E52" s="24"/>
      <c r="F52" s="24"/>
    </row>
    <row r="53" ht="15.0" customHeight="1">
      <c r="A53" s="24"/>
      <c r="B53" s="24"/>
      <c r="C53" s="24"/>
      <c r="D53" s="24"/>
      <c r="E53" s="24"/>
      <c r="F53" s="24"/>
    </row>
    <row r="54" ht="15.0" customHeight="1">
      <c r="A54" s="24"/>
      <c r="B54" s="24"/>
      <c r="C54" s="24"/>
      <c r="D54" s="24"/>
      <c r="E54" s="24"/>
      <c r="F54" s="24"/>
    </row>
    <row r="55" ht="15.0" customHeight="1">
      <c r="A55" s="24"/>
      <c r="B55" s="24"/>
      <c r="C55" s="24"/>
      <c r="D55" s="24"/>
      <c r="E55" s="24"/>
      <c r="F55" s="24"/>
    </row>
    <row r="56" ht="15.0" customHeight="1">
      <c r="A56" s="24"/>
      <c r="B56" s="24"/>
      <c r="C56" s="24"/>
      <c r="D56" s="24"/>
      <c r="E56" s="24"/>
      <c r="F56" s="24"/>
    </row>
    <row r="57" ht="15.0" customHeight="1">
      <c r="A57" s="24"/>
      <c r="B57" s="24"/>
      <c r="C57" s="24"/>
      <c r="D57" s="24"/>
      <c r="E57" s="24"/>
      <c r="F57" s="24"/>
    </row>
    <row r="58" ht="15.0" customHeight="1">
      <c r="A58" s="24"/>
      <c r="B58" s="24"/>
      <c r="C58" s="24"/>
      <c r="D58" s="24"/>
      <c r="E58" s="24"/>
      <c r="F58" s="24"/>
    </row>
    <row r="59" ht="15.0" customHeight="1">
      <c r="A59" s="24"/>
      <c r="B59" s="24"/>
      <c r="C59" s="24"/>
      <c r="D59" s="24"/>
      <c r="E59" s="24"/>
      <c r="F59" s="24"/>
    </row>
    <row r="60" ht="15.0" customHeight="1">
      <c r="A60" s="24"/>
      <c r="B60" s="24"/>
      <c r="C60" s="24"/>
      <c r="D60" s="24"/>
      <c r="E60" s="24"/>
      <c r="F60" s="24"/>
    </row>
    <row r="61" ht="15.75" customHeight="1">
      <c r="A61" s="25"/>
      <c r="B61" s="25"/>
      <c r="C61" s="25"/>
      <c r="D61" s="25"/>
      <c r="E61" s="25"/>
      <c r="F61" s="25"/>
    </row>
    <row r="62" ht="15.75" customHeight="1">
      <c r="A62" s="25"/>
      <c r="B62" s="25"/>
      <c r="C62" s="25"/>
      <c r="D62" s="25"/>
      <c r="E62" s="25"/>
      <c r="F62" s="25"/>
    </row>
    <row r="63" ht="15.75" customHeight="1">
      <c r="A63" s="25"/>
      <c r="B63" s="25"/>
      <c r="C63" s="25"/>
      <c r="D63" s="25"/>
      <c r="E63" s="25"/>
      <c r="F63" s="25"/>
    </row>
    <row r="64" ht="15.75" customHeight="1">
      <c r="A64" s="25"/>
      <c r="B64" s="25"/>
      <c r="C64" s="25"/>
      <c r="D64" s="25"/>
      <c r="E64" s="25"/>
      <c r="F64" s="25"/>
    </row>
    <row r="65" ht="15.75" customHeight="1">
      <c r="A65" s="25"/>
      <c r="B65" s="25"/>
      <c r="C65" s="25"/>
      <c r="D65" s="25"/>
      <c r="E65" s="25"/>
      <c r="F65" s="25"/>
    </row>
    <row r="66" ht="15.75" customHeight="1">
      <c r="A66" s="25"/>
      <c r="B66" s="25"/>
      <c r="C66" s="25"/>
      <c r="D66" s="25"/>
      <c r="E66" s="25"/>
      <c r="F66" s="25"/>
    </row>
    <row r="67" ht="15.75" customHeight="1">
      <c r="A67" s="25"/>
      <c r="B67" s="25"/>
      <c r="C67" s="25"/>
      <c r="D67" s="25"/>
      <c r="E67" s="25"/>
      <c r="F67" s="25"/>
    </row>
    <row r="68" ht="15.75" customHeight="1">
      <c r="A68" s="25"/>
      <c r="B68" s="25"/>
      <c r="C68" s="25"/>
      <c r="D68" s="25"/>
      <c r="E68" s="25"/>
      <c r="F68" s="25"/>
    </row>
    <row r="69" ht="15.75" customHeight="1">
      <c r="A69" s="25"/>
      <c r="B69" s="25"/>
      <c r="C69" s="25"/>
      <c r="D69" s="25"/>
      <c r="E69" s="25"/>
      <c r="F69" s="25"/>
    </row>
    <row r="70" ht="15.75" customHeight="1">
      <c r="A70" s="25"/>
      <c r="B70" s="25"/>
      <c r="C70" s="25"/>
      <c r="D70" s="25"/>
      <c r="E70" s="25"/>
      <c r="F70" s="25"/>
    </row>
    <row r="71" ht="15.75" customHeight="1">
      <c r="A71" s="25"/>
      <c r="B71" s="25"/>
      <c r="C71" s="25"/>
      <c r="D71" s="25"/>
      <c r="E71" s="25"/>
      <c r="F71" s="25"/>
    </row>
    <row r="72" ht="15.75" customHeight="1">
      <c r="A72" s="25"/>
      <c r="B72" s="25"/>
      <c r="C72" s="25"/>
      <c r="D72" s="25"/>
      <c r="E72" s="25"/>
      <c r="F72" s="25"/>
    </row>
    <row r="73" ht="15.75" customHeight="1">
      <c r="A73" s="25"/>
      <c r="B73" s="25"/>
      <c r="C73" s="25"/>
      <c r="D73" s="25"/>
      <c r="E73" s="25"/>
      <c r="F73" s="25"/>
    </row>
    <row r="74" ht="15.75" customHeight="1">
      <c r="A74" s="25"/>
      <c r="B74" s="25"/>
      <c r="C74" s="25"/>
      <c r="D74" s="25"/>
      <c r="E74" s="25"/>
      <c r="F74" s="25"/>
    </row>
    <row r="75" ht="15.75" customHeight="1">
      <c r="A75" s="25"/>
      <c r="B75" s="25"/>
      <c r="C75" s="25"/>
      <c r="D75" s="25"/>
      <c r="E75" s="25"/>
      <c r="F75" s="25"/>
    </row>
    <row r="76" ht="15.75" customHeight="1">
      <c r="A76" s="25"/>
      <c r="B76" s="25"/>
      <c r="C76" s="25"/>
      <c r="D76" s="25"/>
      <c r="E76" s="25"/>
      <c r="F76" s="25"/>
    </row>
    <row r="77" ht="15.75" customHeight="1">
      <c r="A77" s="25"/>
      <c r="B77" s="25"/>
      <c r="C77" s="25"/>
      <c r="D77" s="25"/>
      <c r="E77" s="25"/>
      <c r="F77" s="25"/>
    </row>
    <row r="78" ht="15.75" customHeight="1">
      <c r="A78" s="25"/>
      <c r="B78" s="25"/>
      <c r="C78" s="25"/>
      <c r="D78" s="25"/>
      <c r="E78" s="25"/>
      <c r="F78" s="25"/>
    </row>
    <row r="79" ht="15.75" customHeight="1">
      <c r="A79" s="25"/>
      <c r="B79" s="25"/>
      <c r="C79" s="25"/>
      <c r="D79" s="25"/>
      <c r="E79" s="25"/>
      <c r="F79" s="25"/>
    </row>
    <row r="80" ht="15.75" customHeight="1">
      <c r="A80" s="25"/>
      <c r="B80" s="25"/>
      <c r="C80" s="25"/>
      <c r="D80" s="25"/>
      <c r="E80" s="25"/>
      <c r="F80" s="25"/>
    </row>
    <row r="81" ht="15.75" customHeight="1">
      <c r="A81" s="25"/>
      <c r="B81" s="25"/>
      <c r="C81" s="25"/>
      <c r="D81" s="25"/>
      <c r="E81" s="25"/>
      <c r="F81" s="25"/>
    </row>
    <row r="82" ht="15.75" customHeight="1">
      <c r="A82" s="25"/>
      <c r="B82" s="25"/>
      <c r="C82" s="25"/>
      <c r="D82" s="25"/>
      <c r="E82" s="25"/>
      <c r="F82" s="25"/>
    </row>
    <row r="83" ht="15.75" customHeight="1">
      <c r="A83" s="25"/>
      <c r="B83" s="25"/>
      <c r="C83" s="25"/>
      <c r="D83" s="25"/>
      <c r="E83" s="25"/>
      <c r="F83" s="25"/>
    </row>
    <row r="84" ht="15.75" customHeight="1">
      <c r="A84" s="25"/>
      <c r="B84" s="25"/>
      <c r="C84" s="25"/>
      <c r="D84" s="25"/>
      <c r="E84" s="25"/>
      <c r="F84" s="25"/>
    </row>
    <row r="85" ht="15.75" customHeight="1">
      <c r="A85" s="25"/>
      <c r="B85" s="25"/>
      <c r="C85" s="25"/>
      <c r="D85" s="25"/>
      <c r="E85" s="25"/>
      <c r="F85" s="25"/>
    </row>
    <row r="86" ht="15.75" customHeight="1">
      <c r="A86" s="25"/>
      <c r="B86" s="25"/>
      <c r="C86" s="25"/>
      <c r="D86" s="25"/>
      <c r="E86" s="25"/>
      <c r="F86" s="25"/>
    </row>
    <row r="87" ht="15.75" customHeight="1">
      <c r="A87" s="25"/>
      <c r="B87" s="25"/>
      <c r="C87" s="25"/>
      <c r="D87" s="25"/>
      <c r="E87" s="25"/>
      <c r="F87" s="25"/>
    </row>
    <row r="88" ht="15.75" customHeight="1">
      <c r="A88" s="25"/>
      <c r="B88" s="25"/>
      <c r="C88" s="25"/>
      <c r="D88" s="25"/>
      <c r="E88" s="25"/>
      <c r="F88" s="25"/>
    </row>
    <row r="89" ht="15.75" customHeight="1">
      <c r="A89" s="25"/>
      <c r="B89" s="25"/>
      <c r="C89" s="25"/>
      <c r="D89" s="25"/>
      <c r="E89" s="25"/>
      <c r="F89" s="25"/>
    </row>
    <row r="90" ht="15.75" customHeight="1">
      <c r="A90" s="25"/>
      <c r="B90" s="25"/>
      <c r="C90" s="25"/>
      <c r="D90" s="25"/>
      <c r="E90" s="25"/>
      <c r="F90" s="25"/>
    </row>
    <row r="91" ht="15.75" customHeight="1">
      <c r="A91" s="25"/>
      <c r="B91" s="25"/>
      <c r="C91" s="25"/>
      <c r="D91" s="25"/>
      <c r="E91" s="25"/>
      <c r="F91" s="25"/>
    </row>
    <row r="92" ht="15.75" customHeight="1">
      <c r="A92" s="25"/>
      <c r="B92" s="25"/>
      <c r="C92" s="25"/>
      <c r="D92" s="25"/>
      <c r="E92" s="25"/>
      <c r="F92" s="25"/>
    </row>
    <row r="93" ht="15.75" customHeight="1">
      <c r="A93" s="25"/>
      <c r="B93" s="25"/>
      <c r="C93" s="25"/>
      <c r="D93" s="25"/>
      <c r="E93" s="25"/>
      <c r="F93" s="25"/>
    </row>
    <row r="94" ht="15.75" customHeight="1">
      <c r="A94" s="25"/>
      <c r="B94" s="25"/>
      <c r="C94" s="25"/>
      <c r="D94" s="25"/>
      <c r="E94" s="25"/>
      <c r="F94" s="25"/>
    </row>
    <row r="95" ht="15.75" customHeight="1">
      <c r="A95" s="25"/>
      <c r="B95" s="25"/>
      <c r="C95" s="25"/>
      <c r="D95" s="25"/>
      <c r="E95" s="25"/>
      <c r="F95" s="25"/>
    </row>
    <row r="96" ht="15.75" customHeight="1">
      <c r="A96" s="25"/>
      <c r="B96" s="25"/>
      <c r="C96" s="25"/>
      <c r="D96" s="25"/>
      <c r="E96" s="25"/>
      <c r="F96" s="25"/>
    </row>
    <row r="97" ht="15.75" customHeight="1">
      <c r="A97" s="25"/>
      <c r="B97" s="25"/>
      <c r="C97" s="25"/>
      <c r="D97" s="25"/>
      <c r="E97" s="25"/>
      <c r="F97" s="25"/>
    </row>
    <row r="98" ht="15.75" customHeight="1">
      <c r="A98" s="25"/>
      <c r="B98" s="25"/>
      <c r="C98" s="25"/>
      <c r="D98" s="25"/>
      <c r="E98" s="25"/>
      <c r="F98" s="25"/>
    </row>
    <row r="99" ht="15.75" customHeight="1">
      <c r="A99" s="25"/>
      <c r="B99" s="25"/>
      <c r="C99" s="25"/>
      <c r="D99" s="25"/>
      <c r="E99" s="25"/>
      <c r="F99" s="25"/>
    </row>
    <row r="100" ht="15.75" customHeight="1">
      <c r="A100" s="25"/>
      <c r="B100" s="25"/>
      <c r="C100" s="25"/>
      <c r="D100" s="25"/>
      <c r="E100" s="25"/>
      <c r="F100" s="25"/>
    </row>
    <row r="101" ht="15.75" customHeight="1">
      <c r="A101" s="25"/>
      <c r="B101" s="25"/>
      <c r="C101" s="25"/>
      <c r="D101" s="25"/>
      <c r="E101" s="25"/>
      <c r="F101" s="25"/>
    </row>
    <row r="102" ht="15.75" customHeight="1">
      <c r="A102" s="25"/>
      <c r="B102" s="25"/>
      <c r="C102" s="25"/>
      <c r="D102" s="25"/>
      <c r="E102" s="25"/>
      <c r="F102" s="25"/>
    </row>
    <row r="103" ht="15.75" customHeight="1">
      <c r="A103" s="25"/>
      <c r="B103" s="25"/>
      <c r="C103" s="25"/>
      <c r="D103" s="25"/>
      <c r="E103" s="25"/>
      <c r="F103" s="25"/>
    </row>
    <row r="104" ht="15.75" customHeight="1">
      <c r="A104" s="25"/>
      <c r="B104" s="25"/>
      <c r="C104" s="25"/>
      <c r="D104" s="25"/>
      <c r="E104" s="25"/>
      <c r="F104" s="25"/>
    </row>
    <row r="105" ht="15.75" customHeight="1">
      <c r="A105" s="25"/>
      <c r="B105" s="25"/>
      <c r="C105" s="25"/>
      <c r="D105" s="25"/>
      <c r="E105" s="25"/>
      <c r="F105" s="25"/>
    </row>
    <row r="106" ht="15.75" customHeight="1">
      <c r="A106" s="25"/>
      <c r="B106" s="25"/>
      <c r="C106" s="25"/>
      <c r="D106" s="25"/>
      <c r="E106" s="25"/>
      <c r="F106" s="25"/>
    </row>
    <row r="107" ht="15.75" customHeight="1">
      <c r="A107" s="25"/>
      <c r="B107" s="25"/>
      <c r="C107" s="25"/>
      <c r="D107" s="25"/>
      <c r="E107" s="25"/>
      <c r="F107" s="25"/>
    </row>
    <row r="108" ht="15.75" customHeight="1">
      <c r="A108" s="25"/>
      <c r="B108" s="25"/>
      <c r="C108" s="25"/>
      <c r="D108" s="25"/>
      <c r="E108" s="25"/>
      <c r="F108" s="25"/>
    </row>
    <row r="109" ht="15.75" customHeight="1">
      <c r="A109" s="25"/>
      <c r="B109" s="25"/>
      <c r="C109" s="25"/>
      <c r="D109" s="25"/>
      <c r="E109" s="25"/>
      <c r="F109" s="25"/>
    </row>
    <row r="110" ht="15.75" customHeight="1">
      <c r="A110" s="25"/>
      <c r="B110" s="25"/>
      <c r="C110" s="25"/>
      <c r="D110" s="25"/>
      <c r="E110" s="25"/>
      <c r="F110" s="25"/>
    </row>
    <row r="111" ht="15.75" customHeight="1">
      <c r="A111" s="25"/>
      <c r="B111" s="25"/>
      <c r="C111" s="25"/>
      <c r="D111" s="25"/>
      <c r="E111" s="25"/>
      <c r="F111" s="25"/>
    </row>
    <row r="112" ht="15.75" customHeight="1">
      <c r="A112" s="25"/>
      <c r="B112" s="25"/>
      <c r="C112" s="25"/>
      <c r="D112" s="25"/>
      <c r="E112" s="25"/>
      <c r="F112" s="25"/>
    </row>
    <row r="113" ht="15.75" customHeight="1">
      <c r="A113" s="25"/>
      <c r="B113" s="25"/>
      <c r="C113" s="25"/>
      <c r="D113" s="25"/>
      <c r="E113" s="25"/>
      <c r="F113" s="25"/>
    </row>
    <row r="114" ht="15.75" customHeight="1">
      <c r="A114" s="25"/>
      <c r="B114" s="25"/>
      <c r="C114" s="25"/>
      <c r="D114" s="25"/>
      <c r="E114" s="25"/>
      <c r="F114" s="25"/>
    </row>
    <row r="115" ht="15.75" customHeight="1">
      <c r="A115" s="25"/>
      <c r="B115" s="25"/>
      <c r="C115" s="25"/>
      <c r="D115" s="25"/>
      <c r="E115" s="25"/>
      <c r="F115" s="25"/>
    </row>
    <row r="116" ht="15.75" customHeight="1">
      <c r="A116" s="25"/>
      <c r="B116" s="25"/>
      <c r="C116" s="25"/>
      <c r="D116" s="25"/>
      <c r="E116" s="25"/>
      <c r="F116" s="25"/>
    </row>
    <row r="117" ht="15.75" customHeight="1">
      <c r="A117" s="25"/>
      <c r="B117" s="25"/>
      <c r="C117" s="25"/>
      <c r="D117" s="25"/>
      <c r="E117" s="25"/>
      <c r="F117" s="25"/>
    </row>
    <row r="118" ht="15.75" customHeight="1">
      <c r="A118" s="25"/>
      <c r="B118" s="25"/>
      <c r="C118" s="25"/>
      <c r="D118" s="25"/>
      <c r="E118" s="25"/>
      <c r="F118" s="25"/>
    </row>
    <row r="119" ht="15.75" customHeight="1">
      <c r="A119" s="25"/>
      <c r="B119" s="25"/>
      <c r="C119" s="25"/>
      <c r="D119" s="25"/>
      <c r="E119" s="25"/>
      <c r="F119" s="25"/>
    </row>
    <row r="120" ht="15.75" customHeight="1">
      <c r="A120" s="25"/>
      <c r="B120" s="25"/>
      <c r="C120" s="25"/>
      <c r="D120" s="25"/>
      <c r="E120" s="25"/>
      <c r="F120" s="25"/>
    </row>
    <row r="121" ht="15.75" customHeight="1">
      <c r="A121" s="25"/>
      <c r="B121" s="25"/>
      <c r="C121" s="25"/>
      <c r="D121" s="25"/>
      <c r="E121" s="25"/>
      <c r="F121" s="25"/>
    </row>
    <row r="122" ht="15.75" customHeight="1">
      <c r="A122" s="25"/>
      <c r="B122" s="25"/>
      <c r="C122" s="25"/>
      <c r="D122" s="25"/>
      <c r="E122" s="25"/>
      <c r="F122" s="25"/>
    </row>
    <row r="123" ht="15.75" customHeight="1">
      <c r="A123" s="25"/>
      <c r="B123" s="25"/>
      <c r="C123" s="25"/>
      <c r="D123" s="25"/>
      <c r="E123" s="25"/>
      <c r="F123" s="25"/>
    </row>
    <row r="124" ht="15.75" customHeight="1">
      <c r="A124" s="25"/>
      <c r="B124" s="25"/>
      <c r="C124" s="25"/>
      <c r="D124" s="25"/>
      <c r="E124" s="25"/>
      <c r="F124" s="25"/>
    </row>
    <row r="125" ht="15.75" customHeight="1">
      <c r="A125" s="25"/>
      <c r="B125" s="25"/>
      <c r="C125" s="25"/>
      <c r="D125" s="25"/>
      <c r="E125" s="25"/>
      <c r="F125" s="25"/>
    </row>
    <row r="126" ht="15.75" customHeight="1">
      <c r="A126" s="25"/>
      <c r="B126" s="25"/>
      <c r="C126" s="25"/>
      <c r="D126" s="25"/>
      <c r="E126" s="25"/>
      <c r="F126" s="25"/>
    </row>
    <row r="127" ht="15.75" customHeight="1">
      <c r="A127" s="25"/>
      <c r="B127" s="25"/>
      <c r="C127" s="25"/>
      <c r="D127" s="25"/>
      <c r="E127" s="25"/>
      <c r="F127" s="25"/>
    </row>
    <row r="128" ht="15.75" customHeight="1">
      <c r="A128" s="25"/>
      <c r="B128" s="25"/>
      <c r="C128" s="25"/>
      <c r="D128" s="25"/>
      <c r="E128" s="25"/>
      <c r="F128" s="25"/>
    </row>
    <row r="129" ht="15.75" customHeight="1">
      <c r="A129" s="25"/>
      <c r="B129" s="25"/>
      <c r="C129" s="25"/>
      <c r="D129" s="25"/>
      <c r="E129" s="25"/>
      <c r="F129" s="25"/>
    </row>
    <row r="130" ht="15.75" customHeight="1">
      <c r="A130" s="25"/>
      <c r="B130" s="25"/>
      <c r="C130" s="25"/>
      <c r="D130" s="25"/>
      <c r="E130" s="25"/>
      <c r="F130" s="25"/>
    </row>
    <row r="131" ht="15.75" customHeight="1">
      <c r="A131" s="25"/>
      <c r="B131" s="25"/>
      <c r="C131" s="25"/>
      <c r="D131" s="25"/>
      <c r="E131" s="25"/>
      <c r="F131" s="25"/>
    </row>
    <row r="132" ht="15.75" customHeight="1">
      <c r="A132" s="25"/>
      <c r="B132" s="25"/>
      <c r="C132" s="25"/>
      <c r="D132" s="25"/>
      <c r="E132" s="25"/>
      <c r="F132" s="25"/>
    </row>
    <row r="133" ht="15.75" customHeight="1">
      <c r="A133" s="25"/>
      <c r="B133" s="25"/>
      <c r="C133" s="25"/>
      <c r="D133" s="25"/>
      <c r="E133" s="25"/>
      <c r="F133" s="25"/>
    </row>
    <row r="134" ht="15.75" customHeight="1">
      <c r="A134" s="25"/>
      <c r="B134" s="25"/>
      <c r="C134" s="25"/>
      <c r="D134" s="25"/>
      <c r="E134" s="25"/>
      <c r="F134" s="25"/>
    </row>
    <row r="135" ht="15.75" customHeight="1">
      <c r="A135" s="25"/>
      <c r="B135" s="25"/>
      <c r="C135" s="25"/>
      <c r="D135" s="25"/>
      <c r="E135" s="25"/>
      <c r="F135" s="25"/>
    </row>
    <row r="136" ht="15.75" customHeight="1">
      <c r="A136" s="25"/>
      <c r="B136" s="25"/>
      <c r="C136" s="25"/>
      <c r="D136" s="25"/>
      <c r="E136" s="25"/>
      <c r="F136" s="25"/>
    </row>
    <row r="137" ht="15.75" customHeight="1">
      <c r="A137" s="25"/>
      <c r="B137" s="25"/>
      <c r="C137" s="25"/>
      <c r="D137" s="25"/>
      <c r="E137" s="25"/>
      <c r="F137" s="25"/>
    </row>
    <row r="138" ht="15.75" customHeight="1">
      <c r="A138" s="25"/>
      <c r="B138" s="25"/>
      <c r="C138" s="25"/>
      <c r="D138" s="25"/>
      <c r="E138" s="25"/>
      <c r="F138" s="25"/>
    </row>
    <row r="139" ht="15.75" customHeight="1">
      <c r="A139" s="25"/>
      <c r="B139" s="25"/>
      <c r="C139" s="25"/>
      <c r="D139" s="25"/>
      <c r="E139" s="25"/>
      <c r="F139" s="25"/>
    </row>
    <row r="140" ht="15.75" customHeight="1">
      <c r="A140" s="25"/>
      <c r="B140" s="25"/>
      <c r="C140" s="25"/>
      <c r="D140" s="25"/>
      <c r="E140" s="25"/>
      <c r="F140" s="25"/>
    </row>
    <row r="141" ht="15.75" customHeight="1">
      <c r="A141" s="25"/>
      <c r="B141" s="25"/>
      <c r="C141" s="25"/>
      <c r="D141" s="25"/>
      <c r="E141" s="25"/>
      <c r="F141" s="25"/>
    </row>
    <row r="142" ht="15.75" customHeight="1">
      <c r="A142" s="25"/>
      <c r="B142" s="25"/>
      <c r="C142" s="25"/>
      <c r="D142" s="25"/>
      <c r="E142" s="25"/>
      <c r="F142" s="25"/>
    </row>
    <row r="143" ht="15.75" customHeight="1">
      <c r="A143" s="25"/>
      <c r="B143" s="25"/>
      <c r="C143" s="25"/>
      <c r="D143" s="25"/>
      <c r="E143" s="25"/>
      <c r="F143" s="25"/>
    </row>
    <row r="144" ht="15.75" customHeight="1">
      <c r="A144" s="25"/>
      <c r="B144" s="25"/>
      <c r="C144" s="25"/>
      <c r="D144" s="25"/>
      <c r="E144" s="25"/>
      <c r="F144" s="25"/>
    </row>
    <row r="145" ht="15.75" customHeight="1">
      <c r="A145" s="25"/>
      <c r="B145" s="25"/>
      <c r="C145" s="25"/>
      <c r="D145" s="25"/>
      <c r="E145" s="25"/>
      <c r="F145" s="25"/>
    </row>
    <row r="146" ht="15.75" customHeight="1">
      <c r="A146" s="25"/>
      <c r="B146" s="25"/>
      <c r="C146" s="25"/>
      <c r="D146" s="25"/>
      <c r="E146" s="25"/>
      <c r="F146" s="25"/>
    </row>
    <row r="147" ht="15.75" customHeight="1">
      <c r="A147" s="25"/>
      <c r="B147" s="25"/>
      <c r="C147" s="25"/>
      <c r="D147" s="25"/>
      <c r="E147" s="25"/>
      <c r="F147" s="25"/>
    </row>
    <row r="148" ht="15.75" customHeight="1">
      <c r="A148" s="25"/>
      <c r="B148" s="25"/>
      <c r="C148" s="25"/>
      <c r="D148" s="25"/>
      <c r="E148" s="25"/>
      <c r="F148" s="25"/>
    </row>
    <row r="149" ht="15.75" customHeight="1">
      <c r="A149" s="25"/>
      <c r="B149" s="25"/>
      <c r="C149" s="25"/>
      <c r="D149" s="25"/>
      <c r="E149" s="25"/>
      <c r="F149" s="25"/>
    </row>
    <row r="150" ht="15.75" customHeight="1">
      <c r="A150" s="25"/>
      <c r="B150" s="25"/>
      <c r="C150" s="25"/>
      <c r="D150" s="25"/>
      <c r="E150" s="25"/>
      <c r="F150" s="25"/>
    </row>
    <row r="151" ht="15.75" customHeight="1">
      <c r="A151" s="25"/>
      <c r="B151" s="25"/>
      <c r="C151" s="25"/>
      <c r="D151" s="25"/>
      <c r="E151" s="25"/>
      <c r="F151" s="25"/>
    </row>
    <row r="152" ht="15.75" customHeight="1">
      <c r="A152" s="25"/>
      <c r="B152" s="25"/>
      <c r="C152" s="25"/>
      <c r="D152" s="25"/>
      <c r="E152" s="25"/>
      <c r="F152" s="25"/>
    </row>
    <row r="153" ht="15.75" customHeight="1">
      <c r="A153" s="25"/>
      <c r="B153" s="25"/>
      <c r="C153" s="25"/>
      <c r="D153" s="25"/>
      <c r="E153" s="25"/>
      <c r="F153" s="25"/>
    </row>
    <row r="154" ht="15.75" customHeight="1">
      <c r="A154" s="25"/>
      <c r="B154" s="25"/>
      <c r="C154" s="25"/>
      <c r="D154" s="25"/>
      <c r="E154" s="25"/>
      <c r="F154" s="25"/>
    </row>
    <row r="155" ht="15.75" customHeight="1">
      <c r="A155" s="25"/>
      <c r="B155" s="25"/>
      <c r="C155" s="25"/>
      <c r="D155" s="25"/>
      <c r="E155" s="25"/>
      <c r="F155" s="25"/>
    </row>
    <row r="156" ht="15.75" customHeight="1">
      <c r="A156" s="25"/>
      <c r="B156" s="25"/>
      <c r="C156" s="25"/>
      <c r="D156" s="25"/>
      <c r="E156" s="25"/>
      <c r="F156" s="25"/>
    </row>
    <row r="157" ht="15.75" customHeight="1">
      <c r="A157" s="25"/>
      <c r="B157" s="25"/>
      <c r="C157" s="25"/>
      <c r="D157" s="25"/>
      <c r="E157" s="25"/>
      <c r="F157" s="25"/>
    </row>
    <row r="158" ht="15.75" customHeight="1">
      <c r="A158" s="25"/>
      <c r="B158" s="25"/>
      <c r="C158" s="25"/>
      <c r="D158" s="25"/>
      <c r="E158" s="25"/>
      <c r="F158" s="25"/>
    </row>
    <row r="159" ht="15.75" customHeight="1">
      <c r="A159" s="25"/>
      <c r="B159" s="25"/>
      <c r="C159" s="25"/>
      <c r="D159" s="25"/>
      <c r="E159" s="25"/>
      <c r="F159" s="25"/>
    </row>
    <row r="160" ht="15.75" customHeight="1">
      <c r="A160" s="25"/>
      <c r="B160" s="25"/>
      <c r="C160" s="25"/>
      <c r="D160" s="25"/>
      <c r="E160" s="25"/>
      <c r="F160" s="25"/>
    </row>
    <row r="161" ht="15.75" customHeight="1">
      <c r="A161" s="25"/>
      <c r="B161" s="25"/>
      <c r="C161" s="25"/>
      <c r="D161" s="25"/>
      <c r="E161" s="25"/>
      <c r="F161" s="25"/>
    </row>
    <row r="162" ht="15.75" customHeight="1">
      <c r="A162" s="25"/>
      <c r="B162" s="25"/>
      <c r="C162" s="25"/>
      <c r="D162" s="25"/>
      <c r="E162" s="25"/>
      <c r="F162" s="25"/>
    </row>
    <row r="163" ht="15.75" customHeight="1">
      <c r="A163" s="25"/>
      <c r="B163" s="25"/>
      <c r="C163" s="25"/>
      <c r="D163" s="25"/>
      <c r="E163" s="25"/>
      <c r="F163" s="25"/>
    </row>
    <row r="164" ht="15.75" customHeight="1">
      <c r="A164" s="25"/>
      <c r="B164" s="25"/>
      <c r="C164" s="25"/>
      <c r="D164" s="25"/>
      <c r="E164" s="25"/>
      <c r="F164" s="25"/>
    </row>
    <row r="165" ht="15.75" customHeight="1">
      <c r="A165" s="25"/>
      <c r="B165" s="25"/>
      <c r="C165" s="25"/>
      <c r="D165" s="25"/>
      <c r="E165" s="25"/>
      <c r="F165" s="25"/>
    </row>
    <row r="166" ht="15.75" customHeight="1">
      <c r="A166" s="25"/>
      <c r="B166" s="25"/>
      <c r="C166" s="25"/>
      <c r="D166" s="25"/>
      <c r="E166" s="25"/>
      <c r="F166" s="25"/>
    </row>
    <row r="167" ht="15.75" customHeight="1">
      <c r="A167" s="25"/>
      <c r="B167" s="25"/>
      <c r="C167" s="25"/>
      <c r="D167" s="25"/>
      <c r="E167" s="25"/>
      <c r="F167" s="25"/>
    </row>
    <row r="168" ht="15.75" customHeight="1">
      <c r="A168" s="25"/>
      <c r="B168" s="25"/>
      <c r="C168" s="25"/>
      <c r="D168" s="25"/>
      <c r="E168" s="25"/>
      <c r="F168" s="25"/>
    </row>
    <row r="169" ht="15.75" customHeight="1">
      <c r="A169" s="25"/>
      <c r="B169" s="25"/>
      <c r="C169" s="25"/>
      <c r="D169" s="25"/>
      <c r="E169" s="25"/>
      <c r="F169" s="25"/>
    </row>
    <row r="170" ht="15.75" customHeight="1">
      <c r="A170" s="25"/>
      <c r="B170" s="25"/>
      <c r="C170" s="25"/>
      <c r="D170" s="25"/>
      <c r="E170" s="25"/>
      <c r="F170" s="25"/>
    </row>
    <row r="171" ht="15.75" customHeight="1">
      <c r="A171" s="25"/>
      <c r="B171" s="25"/>
      <c r="C171" s="25"/>
      <c r="D171" s="25"/>
      <c r="E171" s="25"/>
      <c r="F171" s="25"/>
    </row>
    <row r="172" ht="15.75" customHeight="1">
      <c r="A172" s="25"/>
      <c r="B172" s="25"/>
      <c r="C172" s="25"/>
      <c r="D172" s="25"/>
      <c r="E172" s="25"/>
      <c r="F172" s="25"/>
    </row>
    <row r="173" ht="15.75" customHeight="1">
      <c r="A173" s="25"/>
      <c r="B173" s="25"/>
      <c r="C173" s="25"/>
      <c r="D173" s="25"/>
      <c r="E173" s="25"/>
      <c r="F173" s="25"/>
    </row>
    <row r="174" ht="15.75" customHeight="1">
      <c r="A174" s="25"/>
      <c r="B174" s="25"/>
      <c r="C174" s="25"/>
      <c r="D174" s="25"/>
      <c r="E174" s="25"/>
      <c r="F174" s="25"/>
    </row>
    <row r="175" ht="15.75" customHeight="1">
      <c r="A175" s="25"/>
      <c r="B175" s="25"/>
      <c r="C175" s="25"/>
      <c r="D175" s="25"/>
      <c r="E175" s="25"/>
      <c r="F175" s="25"/>
    </row>
    <row r="176" ht="15.75" customHeight="1">
      <c r="A176" s="25"/>
      <c r="B176" s="25"/>
      <c r="C176" s="25"/>
      <c r="D176" s="25"/>
      <c r="E176" s="25"/>
      <c r="F176" s="25"/>
    </row>
    <row r="177" ht="15.75" customHeight="1">
      <c r="A177" s="25"/>
      <c r="B177" s="25"/>
      <c r="C177" s="25"/>
      <c r="D177" s="25"/>
      <c r="E177" s="25"/>
      <c r="F177" s="25"/>
    </row>
    <row r="178" ht="15.75" customHeight="1">
      <c r="A178" s="25"/>
      <c r="B178" s="25"/>
      <c r="C178" s="25"/>
      <c r="D178" s="25"/>
      <c r="E178" s="25"/>
      <c r="F178" s="25"/>
    </row>
    <row r="179" ht="15.75" customHeight="1">
      <c r="A179" s="25"/>
      <c r="B179" s="25"/>
      <c r="C179" s="25"/>
      <c r="D179" s="25"/>
      <c r="E179" s="25"/>
      <c r="F179" s="25"/>
    </row>
    <row r="180" ht="15.75" customHeight="1">
      <c r="A180" s="25"/>
      <c r="B180" s="25"/>
      <c r="C180" s="25"/>
      <c r="D180" s="25"/>
      <c r="E180" s="25"/>
      <c r="F180" s="25"/>
    </row>
    <row r="181" ht="15.75" customHeight="1">
      <c r="A181" s="25"/>
      <c r="B181" s="25"/>
      <c r="C181" s="25"/>
      <c r="D181" s="25"/>
      <c r="E181" s="25"/>
      <c r="F181" s="25"/>
    </row>
    <row r="182" ht="15.75" customHeight="1">
      <c r="A182" s="25"/>
      <c r="B182" s="25"/>
      <c r="C182" s="25"/>
      <c r="D182" s="25"/>
      <c r="E182" s="25"/>
      <c r="F182" s="25"/>
    </row>
    <row r="183" ht="15.75" customHeight="1">
      <c r="A183" s="25"/>
      <c r="B183" s="25"/>
      <c r="C183" s="25"/>
      <c r="D183" s="25"/>
      <c r="E183" s="25"/>
      <c r="F183" s="25"/>
    </row>
    <row r="184" ht="15.75" customHeight="1">
      <c r="A184" s="25"/>
      <c r="B184" s="25"/>
      <c r="C184" s="25"/>
      <c r="D184" s="25"/>
      <c r="E184" s="25"/>
      <c r="F184" s="25"/>
    </row>
    <row r="185" ht="15.75" customHeight="1">
      <c r="A185" s="25"/>
      <c r="B185" s="25"/>
      <c r="C185" s="25"/>
      <c r="D185" s="25"/>
      <c r="E185" s="25"/>
      <c r="F185" s="25"/>
    </row>
    <row r="186" ht="15.75" customHeight="1">
      <c r="A186" s="25"/>
      <c r="B186" s="25"/>
      <c r="C186" s="25"/>
      <c r="D186" s="25"/>
      <c r="E186" s="25"/>
      <c r="F186" s="25"/>
    </row>
    <row r="187" ht="15.75" customHeight="1">
      <c r="A187" s="25"/>
      <c r="B187" s="25"/>
      <c r="C187" s="25"/>
      <c r="D187" s="25"/>
      <c r="E187" s="25"/>
      <c r="F187" s="25"/>
    </row>
    <row r="188" ht="15.75" customHeight="1">
      <c r="A188" s="25"/>
      <c r="B188" s="25"/>
      <c r="C188" s="25"/>
      <c r="D188" s="25"/>
      <c r="E188" s="25"/>
      <c r="F188" s="25"/>
    </row>
    <row r="189" ht="15.75" customHeight="1">
      <c r="A189" s="25"/>
      <c r="B189" s="25"/>
      <c r="C189" s="25"/>
      <c r="D189" s="25"/>
      <c r="E189" s="25"/>
      <c r="F189" s="25"/>
    </row>
    <row r="190" ht="15.75" customHeight="1">
      <c r="A190" s="25"/>
      <c r="B190" s="25"/>
      <c r="C190" s="25"/>
      <c r="D190" s="25"/>
      <c r="E190" s="25"/>
      <c r="F190" s="25"/>
    </row>
    <row r="191" ht="15.75" customHeight="1">
      <c r="A191" s="25"/>
      <c r="B191" s="25"/>
      <c r="C191" s="25"/>
      <c r="D191" s="25"/>
      <c r="E191" s="25"/>
      <c r="F191" s="25"/>
    </row>
    <row r="192" ht="15.75" customHeight="1">
      <c r="A192" s="25"/>
      <c r="B192" s="25"/>
      <c r="C192" s="25"/>
      <c r="D192" s="25"/>
      <c r="E192" s="25"/>
      <c r="F192" s="25"/>
    </row>
    <row r="193" ht="15.75" customHeight="1">
      <c r="A193" s="25"/>
      <c r="B193" s="25"/>
      <c r="C193" s="25"/>
      <c r="D193" s="25"/>
      <c r="E193" s="25"/>
      <c r="F193" s="25"/>
    </row>
    <row r="194" ht="15.75" customHeight="1">
      <c r="A194" s="25"/>
      <c r="B194" s="25"/>
      <c r="C194" s="25"/>
      <c r="D194" s="25"/>
      <c r="E194" s="25"/>
      <c r="F194" s="25"/>
    </row>
    <row r="195" ht="15.75" customHeight="1">
      <c r="A195" s="25"/>
      <c r="B195" s="25"/>
      <c r="C195" s="25"/>
      <c r="D195" s="25"/>
      <c r="E195" s="25"/>
      <c r="F195" s="25"/>
    </row>
    <row r="196" ht="15.75" customHeight="1">
      <c r="A196" s="25"/>
      <c r="B196" s="25"/>
      <c r="C196" s="25"/>
      <c r="D196" s="25"/>
      <c r="E196" s="25"/>
      <c r="F196" s="25"/>
    </row>
    <row r="197" ht="15.75" customHeight="1">
      <c r="A197" s="25"/>
      <c r="B197" s="25"/>
      <c r="C197" s="25"/>
      <c r="D197" s="25"/>
      <c r="E197" s="25"/>
      <c r="F197" s="25"/>
    </row>
    <row r="198" ht="15.75" customHeight="1">
      <c r="A198" s="25"/>
      <c r="B198" s="25"/>
      <c r="C198" s="25"/>
      <c r="D198" s="25"/>
      <c r="E198" s="25"/>
      <c r="F198" s="25"/>
    </row>
    <row r="199" ht="15.75" customHeight="1">
      <c r="A199" s="25"/>
      <c r="B199" s="25"/>
      <c r="C199" s="25"/>
      <c r="D199" s="25"/>
      <c r="E199" s="25"/>
      <c r="F199" s="25"/>
    </row>
    <row r="200" ht="15.75" customHeight="1">
      <c r="A200" s="25"/>
      <c r="B200" s="25"/>
      <c r="C200" s="25"/>
      <c r="D200" s="25"/>
      <c r="E200" s="25"/>
      <c r="F200" s="25"/>
    </row>
    <row r="201" ht="15.75" customHeight="1">
      <c r="A201" s="25"/>
      <c r="B201" s="25"/>
      <c r="C201" s="25"/>
      <c r="D201" s="25"/>
      <c r="E201" s="25"/>
      <c r="F201" s="25"/>
    </row>
    <row r="202" ht="15.75" customHeight="1">
      <c r="A202" s="25"/>
      <c r="B202" s="25"/>
      <c r="C202" s="25"/>
      <c r="D202" s="25"/>
      <c r="E202" s="25"/>
      <c r="F202" s="25"/>
    </row>
    <row r="203" ht="15.75" customHeight="1">
      <c r="A203" s="25"/>
      <c r="B203" s="25"/>
      <c r="C203" s="25"/>
      <c r="D203" s="25"/>
      <c r="E203" s="25"/>
      <c r="F203" s="25"/>
    </row>
    <row r="204" ht="15.75" customHeight="1">
      <c r="A204" s="25"/>
      <c r="B204" s="25"/>
      <c r="C204" s="25"/>
      <c r="D204" s="25"/>
      <c r="E204" s="25"/>
      <c r="F204" s="25"/>
    </row>
    <row r="205" ht="15.75" customHeight="1">
      <c r="A205" s="25"/>
      <c r="B205" s="25"/>
      <c r="C205" s="25"/>
      <c r="D205" s="25"/>
      <c r="E205" s="25"/>
      <c r="F205" s="25"/>
    </row>
    <row r="206" ht="15.75" customHeight="1">
      <c r="A206" s="25"/>
      <c r="B206" s="25"/>
      <c r="C206" s="25"/>
      <c r="D206" s="25"/>
      <c r="E206" s="25"/>
      <c r="F206" s="25"/>
    </row>
    <row r="207" ht="15.75" customHeight="1">
      <c r="A207" s="25"/>
      <c r="B207" s="25"/>
      <c r="C207" s="25"/>
      <c r="D207" s="25"/>
      <c r="E207" s="25"/>
      <c r="F207" s="25"/>
    </row>
    <row r="208" ht="15.75" customHeight="1">
      <c r="A208" s="25"/>
      <c r="B208" s="25"/>
      <c r="C208" s="25"/>
      <c r="D208" s="25"/>
      <c r="E208" s="25"/>
      <c r="F208" s="25"/>
    </row>
    <row r="209" ht="15.75" customHeight="1">
      <c r="A209" s="25"/>
      <c r="B209" s="25"/>
      <c r="C209" s="25"/>
      <c r="D209" s="25"/>
      <c r="E209" s="25"/>
      <c r="F209" s="25"/>
    </row>
    <row r="210" ht="15.75" customHeight="1">
      <c r="A210" s="25"/>
      <c r="B210" s="25"/>
      <c r="C210" s="25"/>
      <c r="D210" s="25"/>
      <c r="E210" s="25"/>
      <c r="F210" s="25"/>
    </row>
    <row r="211" ht="15.75" customHeight="1">
      <c r="A211" s="25"/>
      <c r="B211" s="25"/>
      <c r="C211" s="25"/>
      <c r="D211" s="25"/>
      <c r="E211" s="25"/>
      <c r="F211" s="25"/>
    </row>
    <row r="212" ht="15.75" customHeight="1">
      <c r="A212" s="25"/>
      <c r="B212" s="25"/>
      <c r="C212" s="25"/>
      <c r="D212" s="25"/>
      <c r="E212" s="25"/>
      <c r="F212" s="25"/>
    </row>
    <row r="213" ht="15.75" customHeight="1">
      <c r="A213" s="25"/>
      <c r="B213" s="25"/>
      <c r="C213" s="25"/>
      <c r="D213" s="25"/>
      <c r="E213" s="25"/>
      <c r="F213" s="25"/>
    </row>
    <row r="214" ht="15.75" customHeight="1">
      <c r="A214" s="25"/>
      <c r="B214" s="25"/>
      <c r="C214" s="25"/>
      <c r="D214" s="25"/>
      <c r="E214" s="25"/>
      <c r="F214" s="25"/>
    </row>
    <row r="215" ht="15.75" customHeight="1">
      <c r="A215" s="25"/>
      <c r="B215" s="25"/>
      <c r="C215" s="25"/>
      <c r="D215" s="25"/>
      <c r="E215" s="25"/>
      <c r="F215" s="25"/>
    </row>
    <row r="216" ht="15.75" customHeight="1">
      <c r="A216" s="25"/>
      <c r="B216" s="25"/>
      <c r="C216" s="25"/>
      <c r="D216" s="25"/>
      <c r="E216" s="25"/>
      <c r="F216" s="25"/>
    </row>
    <row r="217" ht="15.75" customHeight="1">
      <c r="A217" s="25"/>
      <c r="B217" s="25"/>
      <c r="C217" s="25"/>
      <c r="D217" s="25"/>
      <c r="E217" s="25"/>
      <c r="F217" s="25"/>
    </row>
    <row r="218" ht="15.75" customHeight="1">
      <c r="A218" s="25"/>
      <c r="B218" s="25"/>
      <c r="C218" s="25"/>
      <c r="D218" s="25"/>
      <c r="E218" s="25"/>
      <c r="F218" s="25"/>
    </row>
    <row r="219" ht="15.75" customHeight="1">
      <c r="A219" s="25"/>
      <c r="B219" s="25"/>
      <c r="C219" s="25"/>
      <c r="D219" s="25"/>
      <c r="E219" s="25"/>
      <c r="F219" s="25"/>
    </row>
    <row r="220" ht="15.75" customHeight="1">
      <c r="A220" s="25"/>
      <c r="B220" s="25"/>
      <c r="C220" s="25"/>
      <c r="D220" s="25"/>
      <c r="E220" s="25"/>
      <c r="F220" s="25"/>
    </row>
    <row r="221" ht="15.75" customHeight="1">
      <c r="A221" s="25"/>
      <c r="B221" s="25"/>
      <c r="C221" s="25"/>
      <c r="D221" s="25"/>
      <c r="E221" s="25"/>
      <c r="F221" s="25"/>
    </row>
    <row r="222" ht="15.75" customHeight="1">
      <c r="A222" s="25"/>
      <c r="B222" s="25"/>
      <c r="C222" s="25"/>
      <c r="D222" s="25"/>
      <c r="E222" s="25"/>
      <c r="F222" s="25"/>
    </row>
    <row r="223" ht="15.75" customHeight="1">
      <c r="A223" s="25"/>
      <c r="B223" s="25"/>
      <c r="C223" s="25"/>
      <c r="D223" s="25"/>
      <c r="E223" s="25"/>
      <c r="F223" s="25"/>
    </row>
    <row r="224" ht="15.75" customHeight="1">
      <c r="A224" s="25"/>
      <c r="B224" s="25"/>
      <c r="C224" s="25"/>
      <c r="D224" s="25"/>
      <c r="E224" s="25"/>
      <c r="F224" s="25"/>
    </row>
    <row r="225" ht="15.75" customHeight="1">
      <c r="A225" s="25"/>
      <c r="B225" s="25"/>
      <c r="C225" s="25"/>
      <c r="D225" s="25"/>
      <c r="E225" s="25"/>
      <c r="F225" s="25"/>
    </row>
    <row r="226" ht="15.75" customHeight="1">
      <c r="A226" s="25"/>
      <c r="B226" s="25"/>
      <c r="C226" s="25"/>
      <c r="D226" s="25"/>
      <c r="E226" s="25"/>
      <c r="F226" s="25"/>
    </row>
    <row r="227" ht="15.75" customHeight="1">
      <c r="A227" s="25"/>
      <c r="B227" s="25"/>
      <c r="C227" s="25"/>
      <c r="D227" s="25"/>
      <c r="E227" s="25"/>
      <c r="F227" s="25"/>
    </row>
    <row r="228" ht="15.75" customHeight="1">
      <c r="A228" s="25"/>
      <c r="B228" s="25"/>
      <c r="C228" s="25"/>
      <c r="D228" s="25"/>
      <c r="E228" s="25"/>
      <c r="F228" s="25"/>
    </row>
    <row r="229" ht="15.75" customHeight="1">
      <c r="A229" s="25"/>
      <c r="B229" s="25"/>
      <c r="C229" s="25"/>
      <c r="D229" s="25"/>
      <c r="E229" s="25"/>
      <c r="F229" s="25"/>
    </row>
    <row r="230" ht="15.75" customHeight="1">
      <c r="A230" s="25"/>
      <c r="B230" s="25"/>
      <c r="C230" s="25"/>
      <c r="D230" s="25"/>
      <c r="E230" s="25"/>
      <c r="F230" s="25"/>
    </row>
    <row r="231" ht="15.75" customHeight="1">
      <c r="A231" s="25"/>
      <c r="B231" s="25"/>
      <c r="C231" s="25"/>
      <c r="D231" s="25"/>
      <c r="E231" s="25"/>
      <c r="F231" s="25"/>
    </row>
    <row r="232" ht="15.75" customHeight="1">
      <c r="A232" s="25"/>
      <c r="B232" s="25"/>
      <c r="C232" s="25"/>
      <c r="D232" s="25"/>
      <c r="E232" s="25"/>
      <c r="F232" s="25"/>
    </row>
    <row r="233" ht="15.75" customHeight="1">
      <c r="A233" s="25"/>
      <c r="B233" s="25"/>
      <c r="C233" s="25"/>
      <c r="D233" s="25"/>
      <c r="E233" s="25"/>
      <c r="F233" s="25"/>
    </row>
    <row r="234" ht="15.75" customHeight="1">
      <c r="A234" s="25"/>
      <c r="B234" s="25"/>
      <c r="C234" s="25"/>
      <c r="D234" s="25"/>
      <c r="E234" s="25"/>
      <c r="F234" s="25"/>
    </row>
    <row r="235" ht="15.75" customHeight="1">
      <c r="A235" s="25"/>
      <c r="B235" s="25"/>
      <c r="C235" s="25"/>
      <c r="D235" s="25"/>
      <c r="E235" s="25"/>
      <c r="F235" s="25"/>
    </row>
    <row r="236" ht="15.75" customHeight="1">
      <c r="A236" s="25"/>
      <c r="B236" s="25"/>
      <c r="C236" s="25"/>
      <c r="D236" s="25"/>
      <c r="E236" s="25"/>
      <c r="F236" s="25"/>
    </row>
    <row r="237" ht="15.75" customHeight="1">
      <c r="A237" s="25"/>
      <c r="B237" s="25"/>
      <c r="C237" s="25"/>
      <c r="D237" s="25"/>
      <c r="E237" s="25"/>
      <c r="F237" s="25"/>
    </row>
    <row r="238" ht="15.75" customHeight="1">
      <c r="A238" s="25"/>
      <c r="B238" s="25"/>
      <c r="C238" s="25"/>
      <c r="D238" s="25"/>
      <c r="E238" s="25"/>
      <c r="F238" s="25"/>
    </row>
    <row r="239" ht="15.75" customHeight="1">
      <c r="A239" s="25"/>
      <c r="B239" s="25"/>
      <c r="C239" s="25"/>
      <c r="D239" s="25"/>
      <c r="E239" s="25"/>
      <c r="F239" s="25"/>
    </row>
    <row r="240" ht="15.75" customHeight="1">
      <c r="A240" s="25"/>
      <c r="B240" s="25"/>
      <c r="C240" s="25"/>
      <c r="D240" s="25"/>
      <c r="E240" s="25"/>
      <c r="F240" s="25"/>
    </row>
    <row r="241" ht="15.75" customHeight="1">
      <c r="A241" s="25"/>
      <c r="B241" s="25"/>
      <c r="C241" s="25"/>
      <c r="D241" s="25"/>
      <c r="E241" s="25"/>
      <c r="F241" s="25"/>
    </row>
    <row r="242" ht="15.75" customHeight="1">
      <c r="A242" s="25"/>
      <c r="B242" s="25"/>
      <c r="C242" s="25"/>
      <c r="D242" s="25"/>
      <c r="E242" s="25"/>
      <c r="F242" s="25"/>
    </row>
    <row r="243" ht="15.75" customHeight="1">
      <c r="A243" s="25"/>
      <c r="B243" s="25"/>
      <c r="C243" s="25"/>
      <c r="D243" s="25"/>
      <c r="E243" s="25"/>
      <c r="F243" s="25"/>
    </row>
    <row r="244" ht="15.75" customHeight="1">
      <c r="A244" s="25"/>
      <c r="B244" s="25"/>
      <c r="C244" s="25"/>
      <c r="D244" s="25"/>
      <c r="E244" s="25"/>
      <c r="F244" s="25"/>
    </row>
    <row r="245" ht="15.75" customHeight="1">
      <c r="A245" s="25"/>
      <c r="B245" s="25"/>
      <c r="C245" s="25"/>
      <c r="D245" s="25"/>
      <c r="E245" s="25"/>
      <c r="F245" s="25"/>
    </row>
    <row r="246" ht="15.75" customHeight="1">
      <c r="A246" s="25"/>
      <c r="B246" s="25"/>
      <c r="C246" s="25"/>
      <c r="D246" s="25"/>
      <c r="E246" s="25"/>
      <c r="F246" s="25"/>
    </row>
    <row r="247" ht="15.75" customHeight="1">
      <c r="A247" s="25"/>
      <c r="B247" s="25"/>
      <c r="C247" s="25"/>
      <c r="D247" s="25"/>
      <c r="E247" s="25"/>
      <c r="F247" s="25"/>
    </row>
    <row r="248" ht="15.75" customHeight="1">
      <c r="A248" s="25"/>
      <c r="B248" s="25"/>
      <c r="C248" s="25"/>
      <c r="D248" s="25"/>
      <c r="E248" s="25"/>
      <c r="F248" s="25"/>
    </row>
    <row r="249" ht="15.75" customHeight="1">
      <c r="A249" s="25"/>
      <c r="B249" s="25"/>
      <c r="C249" s="25"/>
      <c r="D249" s="25"/>
      <c r="E249" s="25"/>
      <c r="F249" s="25"/>
    </row>
    <row r="250" ht="15.75" customHeight="1">
      <c r="A250" s="25"/>
      <c r="B250" s="25"/>
      <c r="C250" s="25"/>
      <c r="D250" s="25"/>
      <c r="E250" s="25"/>
      <c r="F250" s="25"/>
    </row>
    <row r="251" ht="15.75" customHeight="1">
      <c r="A251" s="25"/>
      <c r="B251" s="25"/>
      <c r="C251" s="25"/>
      <c r="D251" s="25"/>
      <c r="E251" s="25"/>
      <c r="F251" s="25"/>
    </row>
    <row r="252" ht="15.75" customHeight="1">
      <c r="A252" s="25"/>
      <c r="B252" s="25"/>
      <c r="C252" s="25"/>
      <c r="D252" s="25"/>
      <c r="E252" s="25"/>
      <c r="F252" s="25"/>
    </row>
    <row r="253" ht="15.75" customHeight="1">
      <c r="A253" s="25"/>
      <c r="B253" s="25"/>
      <c r="C253" s="25"/>
      <c r="D253" s="25"/>
      <c r="E253" s="25"/>
      <c r="F253" s="25"/>
    </row>
    <row r="254" ht="15.75" customHeight="1">
      <c r="A254" s="25"/>
      <c r="B254" s="25"/>
      <c r="C254" s="25"/>
      <c r="D254" s="25"/>
      <c r="E254" s="25"/>
      <c r="F254" s="25"/>
    </row>
    <row r="255" ht="15.75" customHeight="1">
      <c r="A255" s="25"/>
      <c r="B255" s="25"/>
      <c r="C255" s="25"/>
      <c r="D255" s="25"/>
      <c r="E255" s="25"/>
      <c r="F255" s="25"/>
    </row>
    <row r="256" ht="15.75" customHeight="1">
      <c r="A256" s="25"/>
      <c r="B256" s="25"/>
      <c r="C256" s="25"/>
      <c r="D256" s="25"/>
      <c r="E256" s="25"/>
      <c r="F256" s="25"/>
    </row>
    <row r="257" ht="15.75" customHeight="1">
      <c r="A257" s="25"/>
      <c r="B257" s="25"/>
      <c r="C257" s="25"/>
      <c r="D257" s="25"/>
      <c r="E257" s="25"/>
      <c r="F257" s="25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5"/>
      <c r="B260" s="25"/>
      <c r="C260" s="25"/>
      <c r="D260" s="25"/>
      <c r="E260" s="25"/>
      <c r="F260" s="25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5"/>
      <c r="B263" s="25"/>
      <c r="C263" s="25"/>
      <c r="D263" s="25"/>
      <c r="E263" s="25"/>
      <c r="F263" s="25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5"/>
      <c r="B266" s="25"/>
      <c r="C266" s="25"/>
      <c r="D266" s="25"/>
      <c r="E266" s="25"/>
      <c r="F266" s="25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5"/>
      <c r="B269" s="25"/>
      <c r="C269" s="25"/>
      <c r="D269" s="25"/>
      <c r="E269" s="25"/>
      <c r="F269" s="25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5"/>
      <c r="B272" s="25"/>
      <c r="C272" s="25"/>
      <c r="D272" s="25"/>
      <c r="E272" s="25"/>
      <c r="F272" s="25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5"/>
      <c r="B275" s="25"/>
      <c r="C275" s="25"/>
      <c r="D275" s="25"/>
      <c r="E275" s="25"/>
      <c r="F275" s="25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5"/>
      <c r="B278" s="25"/>
      <c r="C278" s="25"/>
      <c r="D278" s="25"/>
      <c r="E278" s="25"/>
      <c r="F278" s="25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5"/>
      <c r="B281" s="25"/>
      <c r="C281" s="25"/>
      <c r="D281" s="25"/>
      <c r="E281" s="25"/>
      <c r="F281" s="25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5"/>
      <c r="B283" s="25"/>
      <c r="C283" s="25"/>
      <c r="D283" s="25"/>
      <c r="E283" s="25"/>
      <c r="F283" s="25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5"/>
      <c r="B286" s="25"/>
      <c r="C286" s="25"/>
      <c r="D286" s="25"/>
      <c r="E286" s="25"/>
      <c r="F286" s="25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5"/>
      <c r="B288" s="25"/>
      <c r="C288" s="25"/>
      <c r="D288" s="25"/>
      <c r="E288" s="25"/>
      <c r="F288" s="25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5"/>
      <c r="B291" s="25"/>
      <c r="C291" s="25"/>
      <c r="D291" s="25"/>
      <c r="E291" s="25"/>
      <c r="F291" s="25"/>
    </row>
    <row r="292" ht="15.75" customHeight="1">
      <c r="A292" s="25"/>
      <c r="B292" s="25"/>
      <c r="C292" s="25"/>
      <c r="D292" s="25"/>
      <c r="E292" s="25"/>
      <c r="F292" s="25"/>
    </row>
    <row r="293" ht="15.75" customHeight="1">
      <c r="A293" s="25"/>
      <c r="B293" s="25"/>
      <c r="C293" s="25"/>
      <c r="D293" s="25"/>
      <c r="E293" s="25"/>
      <c r="F293" s="25"/>
    </row>
    <row r="294" ht="15.75" customHeight="1">
      <c r="A294" s="25"/>
      <c r="B294" s="25"/>
      <c r="C294" s="25"/>
      <c r="D294" s="25"/>
      <c r="E294" s="25"/>
      <c r="F294" s="25"/>
    </row>
    <row r="295" ht="15.75" customHeight="1">
      <c r="A295" s="25"/>
      <c r="B295" s="25"/>
      <c r="C295" s="25"/>
      <c r="D295" s="25"/>
      <c r="E295" s="25"/>
      <c r="F295" s="25"/>
    </row>
    <row r="296" ht="15.75" customHeight="1">
      <c r="A296" s="25"/>
      <c r="B296" s="25"/>
      <c r="C296" s="25"/>
      <c r="D296" s="25"/>
      <c r="E296" s="25"/>
      <c r="F296" s="25"/>
    </row>
    <row r="297" ht="15.75" customHeight="1">
      <c r="A297" s="25"/>
      <c r="B297" s="25"/>
      <c r="C297" s="25"/>
      <c r="D297" s="25"/>
      <c r="E297" s="25"/>
      <c r="F297" s="25"/>
    </row>
    <row r="298" ht="15.75" customHeight="1">
      <c r="A298" s="25"/>
      <c r="B298" s="25"/>
      <c r="C298" s="25"/>
      <c r="D298" s="25"/>
      <c r="E298" s="25"/>
      <c r="F298" s="25"/>
    </row>
    <row r="299" ht="15.75" customHeight="1">
      <c r="A299" s="25"/>
      <c r="B299" s="25"/>
      <c r="C299" s="25"/>
      <c r="D299" s="25"/>
      <c r="E299" s="25"/>
      <c r="F299" s="25"/>
    </row>
    <row r="300" ht="15.75" customHeight="1">
      <c r="A300" s="25"/>
      <c r="B300" s="25"/>
      <c r="C300" s="25"/>
      <c r="D300" s="25"/>
      <c r="E300" s="25"/>
      <c r="F300" s="25"/>
    </row>
    <row r="301" ht="15.75" customHeight="1">
      <c r="A301" s="25"/>
      <c r="B301" s="25"/>
      <c r="C301" s="25"/>
      <c r="D301" s="25"/>
      <c r="E301" s="25"/>
      <c r="F301" s="25"/>
    </row>
    <row r="302" ht="15.75" customHeight="1">
      <c r="A302" s="25"/>
      <c r="B302" s="25"/>
      <c r="C302" s="25"/>
      <c r="D302" s="25"/>
      <c r="E302" s="25"/>
      <c r="F302" s="25"/>
    </row>
    <row r="303" ht="15.75" customHeight="1">
      <c r="A303" s="25"/>
      <c r="B303" s="25"/>
      <c r="C303" s="25"/>
      <c r="D303" s="25"/>
      <c r="E303" s="25"/>
      <c r="F303" s="25"/>
    </row>
    <row r="304" ht="15.75" customHeight="1">
      <c r="A304" s="25"/>
      <c r="B304" s="25"/>
      <c r="C304" s="25"/>
      <c r="D304" s="25"/>
      <c r="E304" s="25"/>
      <c r="F304" s="25"/>
    </row>
    <row r="305" ht="15.75" customHeight="1">
      <c r="A305" s="25"/>
      <c r="B305" s="25"/>
      <c r="C305" s="25"/>
      <c r="D305" s="25"/>
      <c r="E305" s="25"/>
      <c r="F305" s="25"/>
    </row>
    <row r="306" ht="15.75" customHeight="1">
      <c r="A306" s="25"/>
      <c r="B306" s="25"/>
      <c r="C306" s="25"/>
      <c r="D306" s="25"/>
      <c r="E306" s="25"/>
      <c r="F306" s="25"/>
    </row>
    <row r="307" ht="15.75" customHeight="1">
      <c r="A307" s="25"/>
      <c r="B307" s="25"/>
      <c r="C307" s="25"/>
      <c r="D307" s="25"/>
      <c r="E307" s="25"/>
      <c r="F307" s="25"/>
    </row>
    <row r="308" ht="15.75" customHeight="1">
      <c r="A308" s="25"/>
      <c r="B308" s="25"/>
      <c r="C308" s="25"/>
      <c r="D308" s="25"/>
      <c r="E308" s="25"/>
      <c r="F308" s="25"/>
    </row>
    <row r="309" ht="15.75" customHeight="1">
      <c r="A309" s="25"/>
      <c r="B309" s="25"/>
      <c r="C309" s="25"/>
      <c r="D309" s="25"/>
      <c r="E309" s="25"/>
      <c r="F309" s="25"/>
    </row>
    <row r="310" ht="15.75" customHeight="1">
      <c r="A310" s="25"/>
      <c r="B310" s="25"/>
      <c r="C310" s="25"/>
      <c r="D310" s="25"/>
      <c r="E310" s="25"/>
      <c r="F310" s="25"/>
    </row>
    <row r="311" ht="15.75" customHeight="1">
      <c r="A311" s="25"/>
      <c r="B311" s="25"/>
      <c r="C311" s="25"/>
      <c r="D311" s="25"/>
      <c r="E311" s="25"/>
      <c r="F311" s="25"/>
    </row>
    <row r="312" ht="15.75" customHeight="1">
      <c r="A312" s="25"/>
      <c r="B312" s="25"/>
      <c r="C312" s="25"/>
      <c r="D312" s="25"/>
      <c r="E312" s="25"/>
      <c r="F312" s="25"/>
    </row>
    <row r="313" ht="15.75" customHeight="1">
      <c r="A313" s="25"/>
      <c r="B313" s="25"/>
      <c r="C313" s="25"/>
      <c r="D313" s="25"/>
      <c r="E313" s="25"/>
      <c r="F313" s="25"/>
    </row>
    <row r="314" ht="15.75" customHeight="1">
      <c r="A314" s="25"/>
      <c r="B314" s="25"/>
      <c r="C314" s="25"/>
      <c r="D314" s="25"/>
      <c r="E314" s="25"/>
      <c r="F314" s="25"/>
    </row>
    <row r="315" ht="15.75" customHeight="1">
      <c r="A315" s="25"/>
      <c r="B315" s="25"/>
      <c r="C315" s="25"/>
      <c r="D315" s="25"/>
      <c r="E315" s="25"/>
      <c r="F315" s="25"/>
    </row>
    <row r="316" ht="15.75" customHeight="1">
      <c r="A316" s="25"/>
      <c r="B316" s="25"/>
      <c r="C316" s="25"/>
      <c r="D316" s="25"/>
      <c r="E316" s="25"/>
      <c r="F316" s="25"/>
    </row>
    <row r="317" ht="15.75" customHeight="1">
      <c r="A317" s="25"/>
      <c r="B317" s="25"/>
      <c r="C317" s="25"/>
      <c r="D317" s="25"/>
      <c r="E317" s="25"/>
      <c r="F317" s="25"/>
    </row>
    <row r="318" ht="15.75" customHeight="1">
      <c r="A318" s="25"/>
      <c r="B318" s="25"/>
      <c r="C318" s="25"/>
      <c r="D318" s="25"/>
      <c r="E318" s="25"/>
      <c r="F318" s="25"/>
    </row>
    <row r="319" ht="15.75" customHeight="1">
      <c r="A319" s="25"/>
      <c r="B319" s="25"/>
      <c r="C319" s="25"/>
      <c r="D319" s="25"/>
      <c r="E319" s="25"/>
      <c r="F319" s="25"/>
    </row>
    <row r="320" ht="15.75" customHeight="1">
      <c r="A320" s="25"/>
      <c r="B320" s="25"/>
      <c r="C320" s="25"/>
      <c r="D320" s="25"/>
      <c r="E320" s="25"/>
      <c r="F320" s="25"/>
    </row>
    <row r="321" ht="15.75" customHeight="1">
      <c r="A321" s="25"/>
      <c r="B321" s="25"/>
      <c r="C321" s="25"/>
      <c r="D321" s="25"/>
      <c r="E321" s="25"/>
      <c r="F321" s="25"/>
    </row>
    <row r="322" ht="15.75" customHeight="1">
      <c r="A322" s="25"/>
      <c r="B322" s="25"/>
      <c r="C322" s="25"/>
      <c r="D322" s="25"/>
      <c r="E322" s="25"/>
      <c r="F322" s="25"/>
    </row>
    <row r="323" ht="15.75" customHeight="1">
      <c r="A323" s="25"/>
      <c r="B323" s="25"/>
      <c r="C323" s="25"/>
      <c r="D323" s="25"/>
      <c r="E323" s="25"/>
      <c r="F323" s="25"/>
    </row>
    <row r="324" ht="15.75" customHeight="1">
      <c r="A324" s="25"/>
      <c r="B324" s="25"/>
      <c r="C324" s="25"/>
      <c r="D324" s="25"/>
      <c r="E324" s="25"/>
      <c r="F324" s="25"/>
    </row>
    <row r="325" ht="15.75" customHeight="1">
      <c r="A325" s="25"/>
      <c r="B325" s="25"/>
      <c r="C325" s="25"/>
      <c r="D325" s="25"/>
      <c r="E325" s="25"/>
      <c r="F325" s="25"/>
    </row>
    <row r="326" ht="15.75" customHeight="1">
      <c r="A326" s="25"/>
      <c r="B326" s="25"/>
      <c r="C326" s="25"/>
      <c r="D326" s="25"/>
      <c r="E326" s="25"/>
      <c r="F326" s="25"/>
    </row>
    <row r="327" ht="15.75" customHeight="1">
      <c r="A327" s="25"/>
      <c r="B327" s="25"/>
      <c r="C327" s="25"/>
      <c r="D327" s="25"/>
      <c r="E327" s="25"/>
      <c r="F327" s="25"/>
    </row>
    <row r="328" ht="15.75" customHeight="1">
      <c r="A328" s="25"/>
      <c r="B328" s="25"/>
      <c r="C328" s="25"/>
      <c r="D328" s="25"/>
      <c r="E328" s="25"/>
      <c r="F328" s="25"/>
    </row>
    <row r="329" ht="15.75" customHeight="1">
      <c r="A329" s="25"/>
      <c r="B329" s="25"/>
      <c r="C329" s="25"/>
      <c r="D329" s="25"/>
      <c r="E329" s="25"/>
      <c r="F329" s="25"/>
    </row>
    <row r="330" ht="15.75" customHeight="1">
      <c r="A330" s="25"/>
      <c r="B330" s="25"/>
      <c r="C330" s="25"/>
      <c r="D330" s="25"/>
      <c r="E330" s="25"/>
      <c r="F330" s="25"/>
    </row>
    <row r="331" ht="15.75" customHeight="1">
      <c r="A331" s="25"/>
      <c r="B331" s="25"/>
      <c r="C331" s="25"/>
      <c r="D331" s="25"/>
      <c r="E331" s="25"/>
      <c r="F331" s="25"/>
    </row>
    <row r="332" ht="15.75" customHeight="1">
      <c r="A332" s="25"/>
      <c r="B332" s="25"/>
      <c r="C332" s="25"/>
      <c r="D332" s="25"/>
      <c r="E332" s="25"/>
      <c r="F332" s="25"/>
    </row>
    <row r="333" ht="15.75" customHeight="1">
      <c r="A333" s="25"/>
      <c r="B333" s="25"/>
      <c r="C333" s="25"/>
      <c r="D333" s="25"/>
      <c r="E333" s="25"/>
      <c r="F333" s="25"/>
    </row>
    <row r="334" ht="15.75" customHeight="1">
      <c r="A334" s="25"/>
      <c r="B334" s="25"/>
      <c r="C334" s="25"/>
      <c r="D334" s="25"/>
      <c r="E334" s="25"/>
      <c r="F334" s="25"/>
    </row>
    <row r="335" ht="15.75" customHeight="1">
      <c r="A335" s="25"/>
      <c r="B335" s="25"/>
      <c r="C335" s="25"/>
      <c r="D335" s="25"/>
      <c r="E335" s="25"/>
      <c r="F335" s="25"/>
    </row>
    <row r="336" ht="15.75" customHeight="1">
      <c r="A336" s="25"/>
      <c r="B336" s="25"/>
      <c r="C336" s="25"/>
      <c r="D336" s="25"/>
      <c r="E336" s="25"/>
      <c r="F336" s="25"/>
    </row>
    <row r="337" ht="15.75" customHeight="1">
      <c r="A337" s="25"/>
      <c r="B337" s="25"/>
      <c r="C337" s="25"/>
      <c r="D337" s="25"/>
      <c r="E337" s="25"/>
      <c r="F337" s="25"/>
    </row>
    <row r="338" ht="15.75" customHeight="1">
      <c r="A338" s="25"/>
      <c r="B338" s="25"/>
      <c r="C338" s="25"/>
      <c r="D338" s="25"/>
      <c r="E338" s="25"/>
      <c r="F338" s="25"/>
    </row>
    <row r="339" ht="15.75" customHeight="1">
      <c r="A339" s="25"/>
      <c r="B339" s="25"/>
      <c r="C339" s="25"/>
      <c r="D339" s="25"/>
      <c r="E339" s="25"/>
      <c r="F339" s="25"/>
    </row>
    <row r="340" ht="15.75" customHeight="1">
      <c r="A340" s="25"/>
      <c r="B340" s="25"/>
      <c r="C340" s="25"/>
      <c r="D340" s="25"/>
      <c r="E340" s="25"/>
      <c r="F340" s="25"/>
    </row>
    <row r="341" ht="15.75" customHeight="1">
      <c r="A341" s="25"/>
      <c r="B341" s="25"/>
      <c r="C341" s="25"/>
      <c r="D341" s="25"/>
      <c r="E341" s="25"/>
      <c r="F341" s="25"/>
    </row>
    <row r="342" ht="15.75" customHeight="1">
      <c r="A342" s="25"/>
      <c r="B342" s="25"/>
      <c r="C342" s="25"/>
      <c r="D342" s="25"/>
      <c r="E342" s="25"/>
      <c r="F342" s="25"/>
    </row>
    <row r="343" ht="15.75" customHeight="1">
      <c r="A343" s="25"/>
      <c r="B343" s="25"/>
      <c r="C343" s="25"/>
      <c r="D343" s="25"/>
      <c r="E343" s="25"/>
      <c r="F343" s="25"/>
    </row>
    <row r="344" ht="15.75" customHeight="1">
      <c r="A344" s="25"/>
      <c r="B344" s="25"/>
      <c r="C344" s="25"/>
      <c r="D344" s="25"/>
      <c r="E344" s="25"/>
      <c r="F344" s="25"/>
    </row>
    <row r="345" ht="15.75" customHeight="1">
      <c r="A345" s="25"/>
      <c r="B345" s="25"/>
      <c r="C345" s="25"/>
      <c r="D345" s="25"/>
      <c r="E345" s="25"/>
      <c r="F345" s="25"/>
    </row>
    <row r="346" ht="15.75" customHeight="1">
      <c r="A346" s="25"/>
      <c r="B346" s="25"/>
      <c r="C346" s="25"/>
      <c r="D346" s="25"/>
      <c r="E346" s="25"/>
      <c r="F346" s="25"/>
    </row>
    <row r="347" ht="15.75" customHeight="1">
      <c r="A347" s="25"/>
      <c r="B347" s="25"/>
      <c r="C347" s="25"/>
      <c r="D347" s="25"/>
      <c r="E347" s="25"/>
      <c r="F347" s="25"/>
    </row>
    <row r="348" ht="15.75" customHeight="1">
      <c r="A348" s="25"/>
      <c r="B348" s="25"/>
      <c r="C348" s="25"/>
      <c r="D348" s="25"/>
      <c r="E348" s="25"/>
      <c r="F348" s="25"/>
    </row>
    <row r="349" ht="15.75" customHeight="1">
      <c r="A349" s="25"/>
      <c r="B349" s="25"/>
      <c r="C349" s="25"/>
      <c r="D349" s="25"/>
      <c r="E349" s="25"/>
      <c r="F349" s="25"/>
    </row>
    <row r="350" ht="15.75" customHeight="1">
      <c r="A350" s="25"/>
      <c r="B350" s="25"/>
      <c r="C350" s="25"/>
      <c r="D350" s="25"/>
      <c r="E350" s="25"/>
      <c r="F350" s="25"/>
    </row>
    <row r="351" ht="15.75" customHeight="1">
      <c r="A351" s="25"/>
      <c r="B351" s="25"/>
      <c r="C351" s="25"/>
      <c r="D351" s="25"/>
      <c r="E351" s="25"/>
      <c r="F351" s="25"/>
    </row>
    <row r="352" ht="15.75" customHeight="1">
      <c r="A352" s="25"/>
      <c r="B352" s="25"/>
      <c r="C352" s="25"/>
      <c r="D352" s="25"/>
      <c r="E352" s="25"/>
      <c r="F352" s="25"/>
    </row>
    <row r="353" ht="15.75" customHeight="1">
      <c r="A353" s="25"/>
      <c r="B353" s="25"/>
      <c r="C353" s="25"/>
      <c r="D353" s="25"/>
      <c r="E353" s="25"/>
      <c r="F353" s="25"/>
    </row>
    <row r="354" ht="15.75" customHeight="1">
      <c r="A354" s="25"/>
      <c r="B354" s="25"/>
      <c r="C354" s="25"/>
      <c r="D354" s="25"/>
      <c r="E354" s="25"/>
      <c r="F354" s="25"/>
    </row>
    <row r="355" ht="15.75" customHeight="1">
      <c r="A355" s="25"/>
      <c r="B355" s="25"/>
      <c r="C355" s="25"/>
      <c r="D355" s="25"/>
      <c r="E355" s="25"/>
      <c r="F355" s="25"/>
    </row>
    <row r="356" ht="15.75" customHeight="1">
      <c r="A356" s="25"/>
      <c r="B356" s="25"/>
      <c r="C356" s="25"/>
      <c r="D356" s="25"/>
      <c r="E356" s="25"/>
      <c r="F356" s="25"/>
    </row>
    <row r="357" ht="15.75" customHeight="1">
      <c r="A357" s="25"/>
      <c r="B357" s="25"/>
      <c r="C357" s="25"/>
      <c r="D357" s="25"/>
      <c r="E357" s="25"/>
      <c r="F357" s="25"/>
    </row>
    <row r="358" ht="15.75" customHeight="1">
      <c r="A358" s="25"/>
      <c r="B358" s="25"/>
      <c r="C358" s="25"/>
      <c r="D358" s="25"/>
      <c r="E358" s="25"/>
      <c r="F358" s="25"/>
    </row>
    <row r="359" ht="15.75" customHeight="1">
      <c r="A359" s="25"/>
      <c r="B359" s="25"/>
      <c r="C359" s="25"/>
      <c r="D359" s="25"/>
      <c r="E359" s="25"/>
      <c r="F359" s="25"/>
    </row>
    <row r="360" ht="15.75" customHeight="1">
      <c r="A360" s="25"/>
      <c r="B360" s="25"/>
      <c r="C360" s="25"/>
      <c r="D360" s="25"/>
      <c r="E360" s="25"/>
      <c r="F360" s="25"/>
    </row>
    <row r="361" ht="15.75" customHeight="1">
      <c r="A361" s="25"/>
      <c r="B361" s="25"/>
      <c r="C361" s="25"/>
      <c r="D361" s="25"/>
      <c r="E361" s="25"/>
      <c r="F361" s="25"/>
    </row>
    <row r="362" ht="15.75" customHeight="1">
      <c r="A362" s="25"/>
      <c r="B362" s="25"/>
      <c r="C362" s="25"/>
      <c r="D362" s="25"/>
      <c r="E362" s="25"/>
      <c r="F362" s="25"/>
    </row>
    <row r="363" ht="15.75" customHeight="1">
      <c r="A363" s="25"/>
      <c r="B363" s="25"/>
      <c r="C363" s="25"/>
      <c r="D363" s="25"/>
      <c r="E363" s="25"/>
      <c r="F363" s="25"/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</sheetData>
  <mergeCells count="39">
    <mergeCell ref="A1:F1"/>
    <mergeCell ref="A2:F2"/>
    <mergeCell ref="A3:C3"/>
    <mergeCell ref="E3:F3"/>
    <mergeCell ref="A4:F4"/>
    <mergeCell ref="B6:C6"/>
    <mergeCell ref="E6:F6"/>
    <mergeCell ref="A8:F8"/>
    <mergeCell ref="B9:F9"/>
    <mergeCell ref="B10:F10"/>
    <mergeCell ref="A11:F11"/>
    <mergeCell ref="B12:F12"/>
    <mergeCell ref="B13:F13"/>
    <mergeCell ref="A14:F14"/>
    <mergeCell ref="B15:F15"/>
    <mergeCell ref="B16:C16"/>
    <mergeCell ref="E16:F16"/>
    <mergeCell ref="B17:F17"/>
    <mergeCell ref="A18:F18"/>
    <mergeCell ref="B19:C19"/>
    <mergeCell ref="E19:F19"/>
    <mergeCell ref="B20:F20"/>
    <mergeCell ref="A21:F21"/>
    <mergeCell ref="D22:E22"/>
    <mergeCell ref="B23:F23"/>
    <mergeCell ref="B24:F24"/>
    <mergeCell ref="A25:F25"/>
    <mergeCell ref="B26:F26"/>
    <mergeCell ref="B31:C31"/>
    <mergeCell ref="B32:C32"/>
    <mergeCell ref="E32:F32"/>
    <mergeCell ref="A33:F33"/>
    <mergeCell ref="B27:C27"/>
    <mergeCell ref="E27:F27"/>
    <mergeCell ref="B28:F28"/>
    <mergeCell ref="A29:F29"/>
    <mergeCell ref="B30:C30"/>
    <mergeCell ref="E30:F30"/>
    <mergeCell ref="E31:F31"/>
  </mergeCells>
  <conditionalFormatting sqref="B5">
    <cfRule type="expression" dxfId="0" priority="1">
      <formula>ISBLANK(B5)</formula>
    </cfRule>
  </conditionalFormatting>
  <conditionalFormatting sqref="B6">
    <cfRule type="expression" dxfId="0" priority="2">
      <formula>ISBLANK(B6)</formula>
    </cfRule>
  </conditionalFormatting>
  <conditionalFormatting sqref="E6">
    <cfRule type="expression" dxfId="0" priority="3">
      <formula>ISBLANK(E6)</formula>
    </cfRule>
  </conditionalFormatting>
  <conditionalFormatting sqref="B7">
    <cfRule type="expression" dxfId="0" priority="4">
      <formula>ISBLANK(B7)</formula>
    </cfRule>
  </conditionalFormatting>
  <conditionalFormatting sqref="D7">
    <cfRule type="expression" dxfId="0" priority="5">
      <formula>ISBLANK(D7)</formula>
    </cfRule>
  </conditionalFormatting>
  <conditionalFormatting sqref="F7">
    <cfRule type="expression" dxfId="0" priority="6">
      <formula>ISBLANK(F7)</formula>
    </cfRule>
  </conditionalFormatting>
  <conditionalFormatting sqref="B9">
    <cfRule type="expression" dxfId="0" priority="7">
      <formula>ISBLANK(B9)</formula>
    </cfRule>
  </conditionalFormatting>
  <conditionalFormatting sqref="B12">
    <cfRule type="expression" dxfId="0" priority="8">
      <formula>ISBLANK(B12)</formula>
    </cfRule>
  </conditionalFormatting>
  <conditionalFormatting sqref="B15">
    <cfRule type="expression" dxfId="0" priority="9">
      <formula>ISBLANK(B15)</formula>
    </cfRule>
  </conditionalFormatting>
  <conditionalFormatting sqref="E19">
    <cfRule type="expression" dxfId="0" priority="10">
      <formula>ISBLANK(E19)</formula>
    </cfRule>
  </conditionalFormatting>
  <conditionalFormatting sqref="B26">
    <cfRule type="expression" dxfId="0" priority="11">
      <formula>ISBLANK(B26)</formula>
    </cfRule>
  </conditionalFormatting>
  <conditionalFormatting sqref="B28">
    <cfRule type="expression" dxfId="0" priority="12">
      <formula>ISBLANK(B28)</formula>
    </cfRule>
  </conditionalFormatting>
  <conditionalFormatting sqref="B28">
    <cfRule type="expression" dxfId="1" priority="13">
      <formula>OR($B$28="Approved",$B$28="Paid")</formula>
    </cfRule>
  </conditionalFormatting>
  <conditionalFormatting sqref="B28">
    <cfRule type="expression" dxfId="2" priority="14">
      <formula>$B$28="Rejected"</formula>
    </cfRule>
  </conditionalFormatting>
  <conditionalFormatting sqref="B28">
    <cfRule type="expression" dxfId="3" priority="15">
      <formula>$B$28="Pending Approval"</formula>
    </cfRule>
  </conditionalFormatting>
  <conditionalFormatting sqref="B20:F20">
    <cfRule type="expression" dxfId="2" priority="16">
      <formula>ISNUMBER(SEARCH("ERROR",B20))</formula>
    </cfRule>
  </conditionalFormatting>
  <conditionalFormatting sqref="B20:F20">
    <cfRule type="expression" dxfId="1" priority="17">
      <formula>ISNUMBER(SEARCH("OK",B20))</formula>
    </cfRule>
  </conditionalFormatting>
  <conditionalFormatting sqref="B20:F20">
    <cfRule type="expression" dxfId="3" priority="18">
      <formula>ISNUMBER(SEARCH("Awaiting",B20))</formula>
    </cfRule>
  </conditionalFormatting>
  <conditionalFormatting sqref="B24:F24">
    <cfRule type="expression" dxfId="2" priority="19">
      <formula>NOT(ISNUMBER(SEARCH("OK",B24)))</formula>
    </cfRule>
  </conditionalFormatting>
  <conditionalFormatting sqref="B24:F24">
    <cfRule type="expression" dxfId="1" priority="20">
      <formula>ISNUMBER(SEARCH("OK",B24))</formula>
    </cfRule>
  </conditionalFormatting>
  <conditionalFormatting sqref="B22">
    <cfRule type="expression" dxfId="0" priority="21">
      <formula>OR(ISBLANK(B22),LEN(SUBSTITUTE(SUBSTITUTE(B22," ",""),"-",""))&lt;&gt;6,ISERROR(VALUE(SUBSTITUTE(SUBSTITUTE(B22," ",""),"-",""))))</formula>
    </cfRule>
  </conditionalFormatting>
  <conditionalFormatting sqref="D22">
    <cfRule type="expression" dxfId="0" priority="22">
      <formula>ISBLANK(D22)</formula>
    </cfRule>
  </conditionalFormatting>
  <conditionalFormatting sqref="B23">
    <cfRule type="expression" dxfId="0" priority="23">
      <formula>ISBLANK(B23)</formula>
    </cfRule>
  </conditionalFormatting>
  <dataValidations>
    <dataValidation type="date" allowBlank="1" showInputMessage="1" showErrorMessage="1" prompt="Approval Date - Click cell, then enter or pick the manager approval date." sqref="E27">
      <formula1>DATE(2020,1,1)</formula1>
      <formula2>DATE(2035,12,31)</formula2>
    </dataValidation>
    <dataValidation type="decimal" operator="greaterThanOrEqual" allowBlank="1" showInputMessage="1" showErrorMessage="1" prompt="Invalid amount - Amount must be zero or greater." sqref="B7 D7 E19">
      <formula1>0.0</formula1>
    </dataValidation>
    <dataValidation type="date" allowBlank="1" showInputMessage="1" showErrorMessage="1" prompt="Payment Date - Click cell, then enter or pick the payment-completed date." sqref="E31">
      <formula1>DATE(2020,1,1)</formula1>
      <formula2>DATE(2035,12,31)</formula2>
    </dataValidation>
    <dataValidation type="list" allowBlank="1" showInputMessage="1" prompt="Refund Reason - Why the refund is being issued." sqref="B12">
      <formula1>Lists!$E$2:$E$9</formula1>
    </dataValidation>
    <dataValidation type="list" allowBlank="1" showInputMessage="1" prompt="Order Status - Current production / order state." sqref="B9">
      <formula1>Lists!$D$2:$D$7</formula1>
    </dataValidation>
    <dataValidation type="list" allowBlank="1" showInputMessage="1" prompt="Payment Method - How the customer paid originally." sqref="F7">
      <formula1>Lists!$F$2:$F$7</formula1>
    </dataValidation>
    <dataValidation type="custom" allowBlank="1" showInputMessage="1" prompt="BSB - Enter the 6-digit BSB. Dashes or spaces are OK (e.g. 064-000)." sqref="B22">
      <formula1>LTE(LEN(B22),(20))</formula1>
    </dataValidation>
    <dataValidation type="date" allowBlank="1" showInputMessage="1" showErrorMessage="1" prompt="Date of Sale - Click cell, then enter or pick the sale date." sqref="F5">
      <formula1>DATE(2020,1,1)</formula1>
      <formula2>DATE(2035,12,31)</formula2>
    </dataValidation>
    <dataValidation type="list" allowBlank="1" showInputMessage="1" prompt="Approval Status - Workflow stage." sqref="B28">
      <formula1>Lists!$H$2:$H$6</formula1>
    </dataValidation>
    <dataValidation type="list" allowBlank="1" showInputMessage="1" prompt="Yes / No - Confirmation flag." sqref="B32 E32">
      <formula1>Lists!$I$2:$I$3</formula1>
    </dataValidation>
    <dataValidation type="date" allowBlank="1" showInputMessage="1" showErrorMessage="1" prompt="Date Processed - Click cell, then enter or pick the processing date." sqref="E30">
      <formula1>DATE(2020,1,1)</formula1>
      <formula2>DATE(2035,12,31)</formula2>
    </dataValidation>
    <dataValidation type="list" allowBlank="1" showInputMessage="1" prompt="Store - Choose the store branch." sqref="B5">
      <formula1>Lists!$A$2:$A$5</formula1>
    </dataValidation>
    <dataValidation type="list" allowBlank="1" showInputMessage="1" prompt="Refund Method - Internet Bank Transfer Refund (IBT) is the only method." sqref="B19">
      <formula1>Lists!$G$2</formula1>
    </dataValidation>
  </dataValidations>
  <printOptions horizontalCentered="1"/>
  <pageMargins bottom="0.5" footer="0.0" header="0.0" left="0.4" right="0.4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30.0"/>
    <col customWidth="1" min="11" max="26" width="8.71"/>
  </cols>
  <sheetData>
    <row r="1" ht="15.0" customHeight="1">
      <c r="A1" s="26" t="s">
        <v>47</v>
      </c>
      <c r="B1" s="26" t="s">
        <v>48</v>
      </c>
      <c r="D1" s="26" t="s">
        <v>49</v>
      </c>
      <c r="E1" s="26" t="s">
        <v>50</v>
      </c>
      <c r="F1" s="26" t="s">
        <v>51</v>
      </c>
      <c r="G1" s="26" t="s">
        <v>52</v>
      </c>
      <c r="H1" s="26" t="s">
        <v>53</v>
      </c>
      <c r="I1" s="26" t="s">
        <v>54</v>
      </c>
      <c r="J1" s="27" t="s">
        <v>55</v>
      </c>
    </row>
    <row r="2" ht="15.0" customHeight="1">
      <c r="A2" s="25" t="s">
        <v>56</v>
      </c>
      <c r="B2" s="25" t="s">
        <v>57</v>
      </c>
      <c r="D2" s="25" t="s">
        <v>58</v>
      </c>
      <c r="E2" s="25" t="s">
        <v>59</v>
      </c>
      <c r="F2" s="25" t="s">
        <v>60</v>
      </c>
      <c r="G2" s="25" t="s">
        <v>26</v>
      </c>
      <c r="H2" s="25" t="s">
        <v>61</v>
      </c>
      <c r="I2" s="25" t="s">
        <v>62</v>
      </c>
      <c r="J2" s="28" t="str">
        <f>SUBSTITUTE(SUBSTITUTE('Refund Form'!B22," ",""),"-","")</f>
        <v/>
      </c>
    </row>
    <row r="3" ht="15.0" customHeight="1">
      <c r="A3" s="25" t="s">
        <v>63</v>
      </c>
      <c r="B3" s="25" t="s">
        <v>64</v>
      </c>
      <c r="D3" s="25" t="s">
        <v>65</v>
      </c>
      <c r="E3" s="25" t="s">
        <v>66</v>
      </c>
      <c r="F3" s="25" t="s">
        <v>67</v>
      </c>
      <c r="H3" s="25" t="s">
        <v>68</v>
      </c>
      <c r="I3" s="25" t="s">
        <v>69</v>
      </c>
    </row>
    <row r="4" ht="15.0" customHeight="1">
      <c r="A4" s="25" t="s">
        <v>70</v>
      </c>
      <c r="B4" s="25" t="s">
        <v>71</v>
      </c>
      <c r="D4" s="25" t="s">
        <v>72</v>
      </c>
      <c r="E4" s="25" t="s">
        <v>73</v>
      </c>
      <c r="F4" s="25" t="s">
        <v>74</v>
      </c>
      <c r="H4" s="25" t="s">
        <v>75</v>
      </c>
    </row>
    <row r="5" ht="15.0" customHeight="1">
      <c r="A5" s="25" t="s">
        <v>76</v>
      </c>
      <c r="B5" s="25" t="s">
        <v>77</v>
      </c>
      <c r="D5" s="25" t="s">
        <v>78</v>
      </c>
      <c r="E5" s="25" t="s">
        <v>79</v>
      </c>
      <c r="F5" s="25" t="s">
        <v>80</v>
      </c>
      <c r="H5" s="25" t="s">
        <v>81</v>
      </c>
    </row>
    <row r="6" ht="15.0" customHeight="1">
      <c r="D6" s="25" t="s">
        <v>82</v>
      </c>
      <c r="E6" s="25" t="s">
        <v>83</v>
      </c>
      <c r="F6" s="25" t="s">
        <v>84</v>
      </c>
      <c r="H6" s="25" t="s">
        <v>85</v>
      </c>
    </row>
    <row r="7" ht="15.0" customHeight="1">
      <c r="D7" s="25" t="s">
        <v>86</v>
      </c>
      <c r="E7" s="25" t="s">
        <v>87</v>
      </c>
      <c r="F7" s="25" t="s">
        <v>86</v>
      </c>
    </row>
    <row r="8" ht="15.0" customHeight="1">
      <c r="E8" s="25" t="s">
        <v>88</v>
      </c>
    </row>
    <row r="9" ht="15.0" customHeight="1">
      <c r="E9" s="2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